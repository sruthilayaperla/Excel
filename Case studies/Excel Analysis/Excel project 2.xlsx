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4355" windowHeight="4695" firstSheet="16" activeTab="19"/>
  </bookViews>
  <sheets>
    <sheet name="Sheet16" sheetId="26" r:id="rId1"/>
    <sheet name="Sheet17" sheetId="27" r:id="rId2"/>
    <sheet name="Sheet1" sheetId="1" r:id="rId3"/>
    <sheet name="Analyze Salary" sheetId="4" r:id="rId4"/>
    <sheet name="Histogram" sheetId="6" r:id="rId5"/>
    <sheet name="Correlation" sheetId="8" r:id="rId6"/>
    <sheet name="Covariance" sheetId="9" r:id="rId7"/>
    <sheet name="Regression" sheetId="11" r:id="rId8"/>
    <sheet name="ANOVA Single Factor" sheetId="12" r:id="rId9"/>
    <sheet name="ANOVA 2 factor with replication" sheetId="15" r:id="rId10"/>
    <sheet name="ANOVA 2 factor without replicat" sheetId="17" r:id="rId11"/>
    <sheet name="Moving Average" sheetId="18" r:id="rId12"/>
    <sheet name="tTest 2 sample assuming unequal" sheetId="31" r:id="rId13"/>
    <sheet name="tTest 2sample assuming Equalvar" sheetId="32" r:id="rId14"/>
    <sheet name="tTest  Paired 2Sample" sheetId="20" r:id="rId15"/>
    <sheet name="Rank and Percentile" sheetId="19" r:id="rId16"/>
    <sheet name="Sampling-Random Sampling" sheetId="23" r:id="rId17"/>
    <sheet name="Random Number Generation" sheetId="29" r:id="rId18"/>
    <sheet name="F-Test Two-Sample for Variances" sheetId="33" r:id="rId19"/>
    <sheet name="Sheet20" sheetId="30" r:id="rId20"/>
  </sheets>
  <calcPr calcId="125725"/>
</workbook>
</file>

<file path=xl/calcChain.xml><?xml version="1.0" encoding="utf-8"?>
<calcChain xmlns="http://schemas.openxmlformats.org/spreadsheetml/2006/main">
  <c r="B9" i="19"/>
  <c r="B8"/>
  <c r="F3" i="18"/>
  <c r="F4"/>
  <c r="F5"/>
  <c r="F6"/>
  <c r="F7"/>
  <c r="F8"/>
  <c r="F9"/>
  <c r="F10"/>
  <c r="F11"/>
  <c r="F12"/>
  <c r="A2" i="9"/>
  <c r="A1"/>
  <c r="A1" i="8"/>
</calcChain>
</file>

<file path=xl/sharedStrings.xml><?xml version="1.0" encoding="utf-8"?>
<sst xmlns="http://schemas.openxmlformats.org/spreadsheetml/2006/main" count="237" uniqueCount="108">
  <si>
    <t>Employee ID</t>
  </si>
  <si>
    <t>Department</t>
  </si>
  <si>
    <t>Experience</t>
  </si>
  <si>
    <t>Age</t>
  </si>
  <si>
    <t>Salary</t>
  </si>
  <si>
    <t>Performance</t>
  </si>
  <si>
    <t>Training Hours</t>
  </si>
  <si>
    <t>IT</t>
  </si>
  <si>
    <t>HR</t>
  </si>
  <si>
    <t>Finance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</si>
  <si>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</si>
  <si>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</si>
  <si>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</si>
  <si>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</si>
  <si>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</si>
  <si>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</si>
  <si>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</si>
  <si>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</si>
  <si>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</si>
  <si>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</si>
  <si>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</si>
  <si>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</si>
  <si>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</si>
  <si>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Salary Bin</t>
  </si>
  <si>
    <t>Bin</t>
  </si>
  <si>
    <t>More</t>
  </si>
  <si>
    <t>Frequency</t>
  </si>
  <si>
    <t>Experience and Salary</t>
  </si>
  <si>
    <t>Pefromance &amp; Testing  hours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</si>
  <si>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</si>
  <si>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</si>
  <si>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</si>
  <si>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</si>
  <si>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</si>
  <si>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</si>
  <si>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</si>
  <si>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</si>
  <si>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</si>
  <si>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</si>
  <si>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</si>
  <si>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</si>
  <si>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</si>
  <si>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</si>
  <si>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</si>
  <si>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</si>
  <si>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</si>
  <si>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</si>
  <si>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</si>
  <si>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</si>
  <si>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</si>
  <si>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</si>
  <si>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</si>
  <si>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Anova: Single Factor</t>
  </si>
  <si>
    <t>SUMMARY</t>
  </si>
  <si>
    <t>Groups</t>
  </si>
  <si>
    <t>Average</t>
  </si>
  <si>
    <t>Variance</t>
  </si>
  <si>
    <t>Source of Variation</t>
  </si>
  <si>
    <t>F crit</t>
  </si>
  <si>
    <t>Between Groups</t>
  </si>
  <si>
    <t>Within Groups</t>
  </si>
  <si>
    <t>Junior</t>
  </si>
  <si>
    <t>Senior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</si>
  <si>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</si>
  <si>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</si>
  <si>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</si>
  <si>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</si>
  <si>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</si>
  <si>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</si>
  <si>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</si>
  <si>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</si>
  <si>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</si>
  <si>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</si>
  <si>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</si>
  <si>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</si>
  <si>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</si>
  <si>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</si>
  <si>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</si>
  <si>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</si>
  <si>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</si>
  <si>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</si>
  <si>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</si>
  <si>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</si>
  <si>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</si>
  <si>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</si>
  <si>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Employee</t>
  </si>
  <si>
    <t>A</t>
  </si>
  <si>
    <t>B</t>
  </si>
  <si>
    <t>C</t>
  </si>
  <si>
    <t>D</t>
  </si>
  <si>
    <t>E</t>
  </si>
  <si>
    <t>Before Training</t>
  </si>
  <si>
    <t>After Training</t>
  </si>
  <si>
    <t>t-Test: Paired Two Sample for Means</t>
  </si>
  <si>
    <t>Pearson Correlation</t>
  </si>
  <si>
    <t>Hypothesized Mean Difference</t>
  </si>
  <si>
    <t>P(T&lt;=t) one-tail</t>
  </si>
  <si>
    <t>t Critical one-tail</t>
  </si>
  <si>
    <t>P(T&lt;=t) two-tail</t>
  </si>
  <si>
    <t>t Critical two-tail</t>
  </si>
  <si>
    <t>Rank</t>
  </si>
  <si>
    <t>Percentank</t>
  </si>
  <si>
    <t>t-Test: Two-Sample Assuming Unequal Variances</t>
  </si>
  <si>
    <t>t-Test: Two-Sample Assuming Equal Variances</t>
  </si>
  <si>
    <t>Pooled Variance</t>
  </si>
  <si>
    <t>F-Test Two-Sample for Variances</t>
  </si>
  <si>
    <t>P(F&lt;=f) one-tail</t>
  </si>
  <si>
    <t>F Critical one-tail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</si>
</sst>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3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Frequency</c:v>
          </c:tx>
          <c:cat>
            <c:strRef>
              <c:f>Histogram!$A$2:$A$8</c:f>
              <c:strCache>
                <c:ptCount val="7"/>
                <c:pt idx="0">
                  <c:v>40000</c:v>
                </c:pt>
                <c:pt idx="1">
                  <c:v>50000</c:v>
                </c:pt>
                <c:pt idx="2">
                  <c:v>60000</c:v>
                </c:pt>
                <c:pt idx="3">
                  <c:v>70000</c:v>
                </c:pt>
                <c:pt idx="4">
                  <c:v>80000</c:v>
                </c:pt>
                <c:pt idx="5">
                  <c:v>90000</c:v>
                </c:pt>
                <c:pt idx="6">
                  <c:v>More</c:v>
                </c:pt>
              </c:strCache>
            </c:strRef>
          </c:cat>
          <c:val>
            <c:numRef>
              <c:f>Histogram!$B$2:$B$8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</c:ser>
        <c:axId val="151329408"/>
        <c:axId val="161411840"/>
      </c:barChart>
      <c:catAx>
        <c:axId val="151329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</c:title>
        <c:tickLblPos val="nextTo"/>
        <c:crossAx val="161411840"/>
        <c:crosses val="autoZero"/>
        <c:auto val="1"/>
        <c:lblAlgn val="ctr"/>
        <c:lblOffset val="100"/>
      </c:catAx>
      <c:valAx>
        <c:axId val="16141184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</c:title>
        <c:numFmt formatCode="General" sourceLinked="1"/>
        <c:tickLblPos val="nextTo"/>
        <c:crossAx val="15132940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K6" sqref="K6"/>
    </sheetView>
  </sheetViews>
  <sheetFormatPr defaultRowHeight="15"/>
  <cols>
    <col min="1" max="1" width="14.42578125" customWidth="1"/>
    <col min="2" max="2" width="12.28515625" customWidth="1"/>
    <col min="3" max="3" width="12.5703125" customWidth="1"/>
    <col min="6" max="6" width="13.42578125" customWidth="1"/>
    <col min="7" max="7" width="15.85546875" customWidth="1"/>
    <col min="9" max="9" width="15.5703125" customWidth="1"/>
  </cols>
  <sheetData>
    <row r="1" spans="1:9" ht="16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I1" s="1" t="s">
        <v>23</v>
      </c>
    </row>
    <row r="2" spans="1:9" ht="15.75">
      <c r="A2" s="2">
        <v>101</v>
      </c>
      <c r="B2" s="2" t="s">
        <v>7</v>
      </c>
      <c r="C2" s="2">
        <v>2</v>
      </c>
      <c r="D2" s="2">
        <v>35000</v>
      </c>
      <c r="E2" s="2">
        <v>24</v>
      </c>
      <c r="F2" s="2">
        <v>68</v>
      </c>
      <c r="G2" s="2">
        <v>12</v>
      </c>
      <c r="I2" s="2">
        <v>40000</v>
      </c>
    </row>
    <row r="3" spans="1:9" ht="15.75">
      <c r="A3" s="2">
        <v>102</v>
      </c>
      <c r="B3" s="2" t="s">
        <v>8</v>
      </c>
      <c r="C3" s="2">
        <v>3</v>
      </c>
      <c r="D3" s="2">
        <v>38000</v>
      </c>
      <c r="E3" s="2">
        <v>26</v>
      </c>
      <c r="F3" s="2">
        <v>72</v>
      </c>
      <c r="G3" s="2">
        <v>15</v>
      </c>
      <c r="I3" s="2">
        <v>50000</v>
      </c>
    </row>
    <row r="4" spans="1:9" ht="15.75">
      <c r="A4" s="2">
        <v>103</v>
      </c>
      <c r="B4" s="2" t="s">
        <v>7</v>
      </c>
      <c r="C4" s="2">
        <v>5</v>
      </c>
      <c r="D4" s="2">
        <v>48000</v>
      </c>
      <c r="E4" s="2">
        <v>29</v>
      </c>
      <c r="F4" s="2">
        <v>80</v>
      </c>
      <c r="G4" s="2">
        <v>20</v>
      </c>
      <c r="I4" s="2">
        <v>60000</v>
      </c>
    </row>
    <row r="5" spans="1:9" ht="15.75">
      <c r="A5" s="2">
        <v>104</v>
      </c>
      <c r="B5" s="2" t="s">
        <v>9</v>
      </c>
      <c r="C5" s="2">
        <v>4</v>
      </c>
      <c r="D5" s="2">
        <v>45000</v>
      </c>
      <c r="E5" s="2">
        <v>28</v>
      </c>
      <c r="F5" s="2">
        <v>76</v>
      </c>
      <c r="G5" s="2">
        <v>18</v>
      </c>
      <c r="I5" s="2">
        <v>70000</v>
      </c>
    </row>
    <row r="6" spans="1:9" ht="15.75">
      <c r="A6" s="2">
        <v>105</v>
      </c>
      <c r="B6" s="2" t="s">
        <v>7</v>
      </c>
      <c r="C6" s="2">
        <v>7</v>
      </c>
      <c r="D6" s="2">
        <v>62000</v>
      </c>
      <c r="E6" s="2">
        <v>32</v>
      </c>
      <c r="F6" s="2">
        <v>88</v>
      </c>
      <c r="G6" s="2">
        <v>25</v>
      </c>
      <c r="I6" s="2">
        <v>80000</v>
      </c>
    </row>
    <row r="7" spans="1:9" ht="15.75">
      <c r="A7" s="2">
        <v>106</v>
      </c>
      <c r="B7" s="2" t="s">
        <v>8</v>
      </c>
      <c r="C7" s="2">
        <v>6</v>
      </c>
      <c r="D7" s="2">
        <v>55000</v>
      </c>
      <c r="E7" s="2">
        <v>31</v>
      </c>
      <c r="F7" s="2">
        <v>84</v>
      </c>
      <c r="G7" s="2">
        <v>22</v>
      </c>
      <c r="I7" s="2">
        <v>90000</v>
      </c>
    </row>
    <row r="8" spans="1:9" ht="15.75">
      <c r="A8" s="2">
        <v>107</v>
      </c>
      <c r="B8" s="2" t="s">
        <v>9</v>
      </c>
      <c r="C8" s="2">
        <v>8</v>
      </c>
      <c r="D8" s="2">
        <v>68000</v>
      </c>
      <c r="E8" s="2">
        <v>35</v>
      </c>
      <c r="F8" s="2">
        <v>91</v>
      </c>
      <c r="G8" s="2">
        <v>28</v>
      </c>
    </row>
    <row r="9" spans="1:9" ht="15.75">
      <c r="A9" s="2">
        <v>108</v>
      </c>
      <c r="B9" s="2" t="s">
        <v>7</v>
      </c>
      <c r="C9" s="2">
        <v>10</v>
      </c>
      <c r="D9" s="2">
        <v>82000</v>
      </c>
      <c r="E9" s="2">
        <v>38</v>
      </c>
      <c r="F9" s="2">
        <v>95</v>
      </c>
      <c r="G9" s="2">
        <v>30</v>
      </c>
    </row>
    <row r="10" spans="1:9" ht="15.75">
      <c r="A10" s="2">
        <v>109</v>
      </c>
      <c r="B10" s="2" t="s">
        <v>8</v>
      </c>
      <c r="C10" s="2">
        <v>9</v>
      </c>
      <c r="D10" s="2">
        <v>72000</v>
      </c>
      <c r="E10" s="2">
        <v>36</v>
      </c>
      <c r="F10" s="2">
        <v>90</v>
      </c>
      <c r="G10" s="2">
        <v>27</v>
      </c>
    </row>
    <row r="11" spans="1:9" ht="15.75">
      <c r="A11" s="2">
        <v>110</v>
      </c>
      <c r="B11" s="2" t="s">
        <v>9</v>
      </c>
      <c r="C11" s="2">
        <v>3</v>
      </c>
      <c r="D11" s="2">
        <v>40000</v>
      </c>
      <c r="E11" s="2">
        <v>25</v>
      </c>
      <c r="F11" s="2">
        <v>70</v>
      </c>
      <c r="G11" s="2">
        <v>14</v>
      </c>
    </row>
    <row r="12" spans="1:9" ht="15.75">
      <c r="A12" s="2">
        <v>111</v>
      </c>
      <c r="B12" s="2" t="s">
        <v>7</v>
      </c>
      <c r="C12" s="2">
        <v>4</v>
      </c>
      <c r="D12" s="2">
        <v>46000</v>
      </c>
      <c r="E12" s="2">
        <v>27</v>
      </c>
      <c r="F12" s="2">
        <v>78</v>
      </c>
      <c r="G12" s="2">
        <v>19</v>
      </c>
    </row>
    <row r="13" spans="1:9" ht="15.75">
      <c r="A13" s="2">
        <v>112</v>
      </c>
      <c r="B13" s="2" t="s">
        <v>8</v>
      </c>
      <c r="C13" s="2">
        <v>5</v>
      </c>
      <c r="D13" s="2">
        <v>50000</v>
      </c>
      <c r="E13" s="2">
        <v>30</v>
      </c>
      <c r="F13" s="2">
        <v>81</v>
      </c>
      <c r="G13" s="2">
        <v>21</v>
      </c>
    </row>
    <row r="14" spans="1:9" ht="15.75">
      <c r="A14" s="2">
        <v>113</v>
      </c>
      <c r="B14" s="2" t="s">
        <v>9</v>
      </c>
      <c r="C14" s="2">
        <v>6</v>
      </c>
      <c r="D14" s="2">
        <v>58000</v>
      </c>
      <c r="E14" s="2">
        <v>33</v>
      </c>
      <c r="F14" s="2">
        <v>85</v>
      </c>
      <c r="G14" s="2">
        <v>23</v>
      </c>
    </row>
    <row r="15" spans="1:9" ht="15.75">
      <c r="A15" s="2">
        <v>114</v>
      </c>
      <c r="B15" s="2" t="s">
        <v>7</v>
      </c>
      <c r="C15" s="2">
        <v>8</v>
      </c>
      <c r="D15" s="2">
        <v>70000</v>
      </c>
      <c r="E15" s="2">
        <v>34</v>
      </c>
      <c r="F15" s="2">
        <v>92</v>
      </c>
      <c r="G15" s="2">
        <v>29</v>
      </c>
    </row>
    <row r="16" spans="1:9" ht="15.75">
      <c r="A16" s="2">
        <v>115</v>
      </c>
      <c r="B16" s="2" t="s">
        <v>8</v>
      </c>
      <c r="C16" s="2">
        <v>2</v>
      </c>
      <c r="D16" s="2">
        <v>34000</v>
      </c>
      <c r="E16" s="2">
        <v>23</v>
      </c>
      <c r="F16" s="2">
        <v>65</v>
      </c>
      <c r="G16" s="2">
        <v>10</v>
      </c>
    </row>
    <row r="17" spans="1:7" ht="15.75">
      <c r="A17" s="2">
        <v>116</v>
      </c>
      <c r="B17" s="2" t="s">
        <v>9</v>
      </c>
      <c r="C17" s="2">
        <v>9</v>
      </c>
      <c r="D17" s="2">
        <v>76000</v>
      </c>
      <c r="E17" s="2">
        <v>37</v>
      </c>
      <c r="F17" s="2">
        <v>93</v>
      </c>
      <c r="G17" s="2">
        <v>26</v>
      </c>
    </row>
    <row r="18" spans="1:7" ht="15.75">
      <c r="A18" s="2">
        <v>117</v>
      </c>
      <c r="B18" s="2" t="s">
        <v>7</v>
      </c>
      <c r="C18" s="2">
        <v>6</v>
      </c>
      <c r="D18" s="2">
        <v>57000</v>
      </c>
      <c r="E18" s="2">
        <v>30</v>
      </c>
      <c r="F18" s="2">
        <v>86</v>
      </c>
      <c r="G18" s="2">
        <v>24</v>
      </c>
    </row>
    <row r="19" spans="1:7" ht="15.75">
      <c r="A19" s="2">
        <v>118</v>
      </c>
      <c r="B19" s="2" t="s">
        <v>8</v>
      </c>
      <c r="C19" s="2">
        <v>7</v>
      </c>
      <c r="D19" s="2">
        <v>61000</v>
      </c>
      <c r="E19" s="2">
        <v>32</v>
      </c>
      <c r="F19" s="2">
        <v>87</v>
      </c>
      <c r="G19" s="2">
        <v>25</v>
      </c>
    </row>
    <row r="20" spans="1:7" ht="15.75">
      <c r="A20" s="2">
        <v>119</v>
      </c>
      <c r="B20" s="2" t="s">
        <v>9</v>
      </c>
      <c r="C20" s="2">
        <v>5</v>
      </c>
      <c r="D20" s="2">
        <v>52000</v>
      </c>
      <c r="E20" s="2">
        <v>29</v>
      </c>
      <c r="F20" s="2">
        <v>79</v>
      </c>
      <c r="G20" s="2">
        <v>20</v>
      </c>
    </row>
    <row r="21" spans="1:7" ht="15.75">
      <c r="A21" s="2">
        <v>120</v>
      </c>
      <c r="B21" s="2" t="s">
        <v>7</v>
      </c>
      <c r="C21" s="2">
        <v>11</v>
      </c>
      <c r="D21" s="2">
        <v>90000</v>
      </c>
      <c r="E21" s="2">
        <v>40</v>
      </c>
      <c r="F21" s="2">
        <v>97</v>
      </c>
      <c r="G21" s="2">
        <v>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C14" sqref="C14"/>
    </sheetView>
  </sheetViews>
  <sheetFormatPr defaultRowHeight="15"/>
  <cols>
    <col min="1" max="1" width="14" customWidth="1"/>
    <col min="2" max="2" width="12.7109375" customWidth="1"/>
  </cols>
  <sheetData>
    <row r="1" spans="1:2">
      <c r="A1" s="6" t="s">
        <v>4</v>
      </c>
      <c r="B1" s="6"/>
    </row>
    <row r="2" spans="1:2">
      <c r="A2" s="3"/>
      <c r="B2" s="3"/>
    </row>
    <row r="3" spans="1:2">
      <c r="A3" s="3" t="s">
        <v>10</v>
      </c>
      <c r="B3" s="3">
        <v>56950</v>
      </c>
    </row>
    <row r="4" spans="1:2">
      <c r="A4" s="3" t="s">
        <v>11</v>
      </c>
      <c r="B4" s="3">
        <v>3523.9593462019689</v>
      </c>
    </row>
    <row r="5" spans="1:2">
      <c r="A5" s="3" t="s">
        <v>12</v>
      </c>
      <c r="B5" s="3">
        <v>56000</v>
      </c>
    </row>
    <row r="6" spans="1:2">
      <c r="A6" s="3" t="s">
        <v>13</v>
      </c>
      <c r="B6" s="3" t="e">
        <v>#N/A</v>
      </c>
    </row>
    <row r="7" spans="1:2">
      <c r="A7" s="3" t="s">
        <v>14</v>
      </c>
      <c r="B7" s="3">
        <v>15759.625296106637</v>
      </c>
    </row>
    <row r="8" spans="1:2">
      <c r="A8" s="3" t="s">
        <v>15</v>
      </c>
      <c r="B8" s="3">
        <v>248365789.47368422</v>
      </c>
    </row>
    <row r="9" spans="1:2">
      <c r="A9" s="3" t="s">
        <v>16</v>
      </c>
      <c r="B9" s="3">
        <v>-0.51791942042053529</v>
      </c>
    </row>
    <row r="10" spans="1:2">
      <c r="A10" s="3" t="s">
        <v>17</v>
      </c>
      <c r="B10" s="3">
        <v>0.40893514128088748</v>
      </c>
    </row>
    <row r="11" spans="1:2">
      <c r="A11" s="3" t="s">
        <v>18</v>
      </c>
      <c r="B11" s="3">
        <v>56000</v>
      </c>
    </row>
    <row r="12" spans="1:2">
      <c r="A12" s="3" t="s">
        <v>19</v>
      </c>
      <c r="B12" s="3">
        <v>34000</v>
      </c>
    </row>
    <row r="13" spans="1:2">
      <c r="A13" s="3" t="s">
        <v>20</v>
      </c>
      <c r="B13" s="3">
        <v>90000</v>
      </c>
    </row>
    <row r="14" spans="1:2">
      <c r="A14" s="3" t="s">
        <v>21</v>
      </c>
      <c r="B14" s="3">
        <v>1139000</v>
      </c>
    </row>
    <row r="15" spans="1:2" ht="15.75" thickBot="1">
      <c r="A15" s="4" t="s">
        <v>22</v>
      </c>
      <c r="B15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C17" sqref="C17"/>
    </sheetView>
  </sheetViews>
  <sheetFormatPr defaultRowHeight="15"/>
  <sheetData>
    <row r="1" spans="1:2">
      <c r="A1" s="5" t="s">
        <v>24</v>
      </c>
      <c r="B1" s="5" t="s">
        <v>26</v>
      </c>
    </row>
    <row r="2" spans="1:2">
      <c r="A2" s="7">
        <v>40000</v>
      </c>
      <c r="B2" s="3">
        <v>4</v>
      </c>
    </row>
    <row r="3" spans="1:2">
      <c r="A3" s="7">
        <v>50000</v>
      </c>
      <c r="B3" s="3">
        <v>4</v>
      </c>
    </row>
    <row r="4" spans="1:2">
      <c r="A4" s="7">
        <v>60000</v>
      </c>
      <c r="B4" s="3">
        <v>4</v>
      </c>
    </row>
    <row r="5" spans="1:2">
      <c r="A5" s="7">
        <v>70000</v>
      </c>
      <c r="B5" s="3">
        <v>4</v>
      </c>
    </row>
    <row r="6" spans="1:2">
      <c r="A6" s="7">
        <v>80000</v>
      </c>
      <c r="B6" s="3">
        <v>2</v>
      </c>
    </row>
    <row r="7" spans="1:2">
      <c r="A7" s="7">
        <v>90000</v>
      </c>
      <c r="B7" s="3">
        <v>2</v>
      </c>
    </row>
    <row r="8" spans="1:2" ht="15.75" thickBot="1">
      <c r="A8" s="4" t="s">
        <v>25</v>
      </c>
      <c r="B8" s="4">
        <v>0</v>
      </c>
    </row>
  </sheetData>
  <sortState ref="A2:A7">
    <sortCondition ref="A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7" sqref="D7"/>
    </sheetView>
  </sheetViews>
  <sheetFormatPr defaultRowHeight="15"/>
  <cols>
    <col min="1" max="1" width="13.28515625" customWidth="1"/>
  </cols>
  <sheetData>
    <row r="1" spans="1:1">
      <c r="A1">
        <f>CORREL(Sheet1!C2:C21,Sheet1!D2:D21)</f>
        <v>0.99458772197937739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H22" sqref="H22"/>
    </sheetView>
  </sheetViews>
  <sheetFormatPr defaultRowHeight="15"/>
  <cols>
    <col min="3" max="3" width="10.140625" customWidth="1"/>
  </cols>
  <sheetData>
    <row r="1" spans="1:4">
      <c r="A1">
        <f>COVAR(Sheet1!C2:C21,Sheet1!D2:D21)</f>
        <v>38950</v>
      </c>
      <c r="B1" s="8" t="s">
        <v>27</v>
      </c>
      <c r="C1" s="8"/>
    </row>
    <row r="2" spans="1:4">
      <c r="A2">
        <f>COVAR(Sheet1!F2:F21,Sheet1!G2:G21)</f>
        <v>53.15</v>
      </c>
      <c r="B2" s="8" t="s">
        <v>28</v>
      </c>
      <c r="C2" s="8"/>
      <c r="D2" s="8"/>
    </row>
  </sheetData>
  <mergeCells count="2">
    <mergeCell ref="B1:C1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topLeftCell="A4" workbookViewId="0">
      <selection activeCell="G21" sqref="G21"/>
    </sheetView>
  </sheetViews>
  <sheetFormatPr defaultRowHeight="15"/>
  <cols>
    <col min="2" max="2" width="15" customWidth="1"/>
    <col min="3" max="3" width="14.7109375" customWidth="1"/>
    <col min="4" max="4" width="12.42578125" customWidth="1"/>
    <col min="5" max="5" width="9.85546875" customWidth="1"/>
    <col min="6" max="6" width="11.7109375" customWidth="1"/>
    <col min="7" max="7" width="10.85546875" customWidth="1"/>
    <col min="8" max="8" width="12.7109375" customWidth="1"/>
    <col min="9" max="9" width="13" customWidth="1"/>
  </cols>
  <sheetData>
    <row r="1" spans="1:9">
      <c r="A1" t="s">
        <v>29</v>
      </c>
    </row>
    <row r="2" spans="1:9" ht="15.75" thickBot="1"/>
    <row r="3" spans="1:9">
      <c r="A3" s="6" t="s">
        <v>30</v>
      </c>
      <c r="B3" s="6"/>
    </row>
    <row r="4" spans="1:9">
      <c r="A4" s="3" t="s">
        <v>31</v>
      </c>
      <c r="B4" s="3">
        <v>0.99458772197937728</v>
      </c>
    </row>
    <row r="5" spans="1:9">
      <c r="A5" s="3" t="s">
        <v>32</v>
      </c>
      <c r="B5" s="3">
        <v>0.98920473671212716</v>
      </c>
    </row>
    <row r="6" spans="1:9">
      <c r="A6" s="3" t="s">
        <v>33</v>
      </c>
      <c r="B6" s="3">
        <v>0.98860499986280082</v>
      </c>
    </row>
    <row r="7" spans="1:9">
      <c r="A7" s="3" t="s">
        <v>11</v>
      </c>
      <c r="B7" s="3">
        <v>1682.298488713642</v>
      </c>
    </row>
    <row r="8" spans="1:9" ht="15.75" thickBot="1">
      <c r="A8" s="4" t="s">
        <v>34</v>
      </c>
      <c r="B8" s="4">
        <v>20</v>
      </c>
    </row>
    <row r="10" spans="1:9" ht="15.75" thickBot="1">
      <c r="A10" t="s">
        <v>35</v>
      </c>
    </row>
    <row r="11" spans="1:9">
      <c r="A11" s="5"/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</row>
    <row r="12" spans="1:9">
      <c r="A12" s="3" t="s">
        <v>36</v>
      </c>
      <c r="B12" s="3">
        <v>1</v>
      </c>
      <c r="C12" s="3">
        <v>4668007692.3076925</v>
      </c>
      <c r="D12" s="3">
        <v>4668007692.3076925</v>
      </c>
      <c r="E12" s="3">
        <v>1649.3979614949046</v>
      </c>
      <c r="F12" s="3">
        <v>3.7110294595676643E-19</v>
      </c>
    </row>
    <row r="13" spans="1:9">
      <c r="A13" s="3" t="s">
        <v>37</v>
      </c>
      <c r="B13" s="3">
        <v>18</v>
      </c>
      <c r="C13" s="3">
        <v>50942307.692307666</v>
      </c>
      <c r="D13" s="3">
        <v>2830128.2051282036</v>
      </c>
      <c r="E13" s="3"/>
      <c r="F13" s="3"/>
    </row>
    <row r="14" spans="1:9" ht="15.75" thickBot="1">
      <c r="A14" s="4" t="s">
        <v>38</v>
      </c>
      <c r="B14" s="4">
        <v>19</v>
      </c>
      <c r="C14" s="4">
        <v>4718950000</v>
      </c>
      <c r="D14" s="4"/>
      <c r="E14" s="4"/>
      <c r="F14" s="4"/>
    </row>
    <row r="15" spans="1:9" ht="15.75" thickBot="1"/>
    <row r="16" spans="1:9">
      <c r="A16" s="5"/>
      <c r="B16" s="5" t="s">
        <v>45</v>
      </c>
      <c r="C16" s="5" t="s">
        <v>11</v>
      </c>
      <c r="D16" s="5" t="s">
        <v>46</v>
      </c>
      <c r="E16" s="5" t="s">
        <v>47</v>
      </c>
      <c r="F16" s="5" t="s">
        <v>48</v>
      </c>
      <c r="G16" s="5" t="s">
        <v>49</v>
      </c>
      <c r="H16" s="5" t="s">
        <v>50</v>
      </c>
      <c r="I16" s="5" t="s">
        <v>51</v>
      </c>
    </row>
    <row r="17" spans="1:9">
      <c r="A17" s="3" t="s">
        <v>39</v>
      </c>
      <c r="B17" s="3">
        <v>20996.153846153844</v>
      </c>
      <c r="C17" s="3">
        <v>961.89096102796248</v>
      </c>
      <c r="D17" s="3">
        <v>21.827997867570645</v>
      </c>
      <c r="E17" s="3">
        <v>2.1172430809940011E-14</v>
      </c>
      <c r="F17" s="3">
        <v>18975.295929072618</v>
      </c>
      <c r="G17" s="3">
        <v>23017.01176323507</v>
      </c>
      <c r="H17" s="3">
        <v>18975.295929072618</v>
      </c>
      <c r="I17" s="3">
        <v>23017.01176323507</v>
      </c>
    </row>
    <row r="18" spans="1:9" ht="15.75" thickBot="1">
      <c r="A18" s="4" t="s">
        <v>2</v>
      </c>
      <c r="B18" s="4">
        <v>5992.3076923076933</v>
      </c>
      <c r="C18" s="4">
        <v>147.54733803943955</v>
      </c>
      <c r="D18" s="4">
        <v>40.612780765356426</v>
      </c>
      <c r="E18" s="4">
        <v>3.7110294595676643E-19</v>
      </c>
      <c r="F18" s="4">
        <v>5682.3222383404291</v>
      </c>
      <c r="G18" s="4">
        <v>6302.2931462749575</v>
      </c>
      <c r="H18" s="4">
        <v>5682.3222383404291</v>
      </c>
      <c r="I18" s="4">
        <v>6302.2931462749575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3"/>
  <sheetViews>
    <sheetView topLeftCell="A13" workbookViewId="0">
      <selection activeCell="K34" sqref="K34"/>
    </sheetView>
  </sheetViews>
  <sheetFormatPr defaultRowHeight="15"/>
  <cols>
    <col min="1" max="1" width="17.85546875" customWidth="1"/>
  </cols>
  <sheetData>
    <row r="1" spans="1:3" ht="15.75">
      <c r="A1" s="1" t="s">
        <v>7</v>
      </c>
      <c r="B1" s="1" t="s">
        <v>8</v>
      </c>
      <c r="C1" s="1" t="s">
        <v>9</v>
      </c>
    </row>
    <row r="2" spans="1:3" ht="15.75">
      <c r="A2" s="2">
        <v>35000</v>
      </c>
      <c r="B2" s="2">
        <v>38000</v>
      </c>
      <c r="C2" s="2">
        <v>45000</v>
      </c>
    </row>
    <row r="3" spans="1:3" ht="15.75">
      <c r="A3" s="2">
        <v>48000</v>
      </c>
      <c r="B3" s="2">
        <v>55000</v>
      </c>
      <c r="C3" s="2">
        <v>68000</v>
      </c>
    </row>
    <row r="4" spans="1:3" ht="15.75">
      <c r="A4" s="2">
        <v>62000</v>
      </c>
      <c r="B4" s="2">
        <v>72000</v>
      </c>
      <c r="C4" s="2">
        <v>40000</v>
      </c>
    </row>
    <row r="5" spans="1:3" ht="15.75">
      <c r="A5" s="2">
        <v>82000</v>
      </c>
      <c r="B5" s="2">
        <v>50000</v>
      </c>
      <c r="C5" s="2">
        <v>58000</v>
      </c>
    </row>
    <row r="6" spans="1:3" ht="15.75">
      <c r="A6" s="2">
        <v>46000</v>
      </c>
      <c r="B6" s="2">
        <v>34000</v>
      </c>
      <c r="C6" s="2">
        <v>70000</v>
      </c>
    </row>
    <row r="7" spans="1:3" ht="15.75">
      <c r="A7" s="2">
        <v>57000</v>
      </c>
      <c r="B7" s="2">
        <v>61000</v>
      </c>
      <c r="C7" s="2">
        <v>76000</v>
      </c>
    </row>
    <row r="8" spans="1:3" ht="15.75">
      <c r="A8" s="2">
        <v>70000</v>
      </c>
      <c r="B8" s="9"/>
      <c r="C8" s="2">
        <v>52000</v>
      </c>
    </row>
    <row r="9" spans="1:3" ht="15.75">
      <c r="A9" s="2">
        <v>90000</v>
      </c>
      <c r="B9" s="9"/>
      <c r="C9" s="9"/>
    </row>
    <row r="14" spans="1:3">
      <c r="A14" t="s">
        <v>52</v>
      </c>
    </row>
    <row r="16" spans="1:3" ht="15.75" thickBot="1">
      <c r="A16" t="s">
        <v>53</v>
      </c>
    </row>
    <row r="17" spans="1:12">
      <c r="A17" s="5" t="s">
        <v>54</v>
      </c>
      <c r="B17" s="5" t="s">
        <v>22</v>
      </c>
      <c r="C17" s="5" t="s">
        <v>21</v>
      </c>
      <c r="D17" s="5" t="s">
        <v>55</v>
      </c>
      <c r="E17" s="5" t="s">
        <v>56</v>
      </c>
    </row>
    <row r="18" spans="1:12">
      <c r="A18" s="3" t="s">
        <v>7</v>
      </c>
      <c r="B18" s="3">
        <v>8</v>
      </c>
      <c r="C18" s="3">
        <v>490000</v>
      </c>
      <c r="D18" s="3">
        <v>61250</v>
      </c>
      <c r="E18" s="3">
        <v>349928571.4285714</v>
      </c>
    </row>
    <row r="19" spans="1:12">
      <c r="A19" s="3" t="s">
        <v>8</v>
      </c>
      <c r="B19" s="3">
        <v>6</v>
      </c>
      <c r="C19" s="3">
        <v>310000</v>
      </c>
      <c r="D19" s="3">
        <v>51666.666666666664</v>
      </c>
      <c r="E19" s="3">
        <v>202666666.66666681</v>
      </c>
    </row>
    <row r="20" spans="1:12" ht="15.75" thickBot="1">
      <c r="A20" s="4" t="s">
        <v>9</v>
      </c>
      <c r="B20" s="4">
        <v>7</v>
      </c>
      <c r="C20" s="4">
        <v>409000</v>
      </c>
      <c r="D20" s="4">
        <v>58428.571428571428</v>
      </c>
      <c r="E20" s="4">
        <v>182619047.61904779</v>
      </c>
    </row>
    <row r="23" spans="1:12" ht="15.75" thickBot="1">
      <c r="A23" t="s">
        <v>35</v>
      </c>
    </row>
    <row r="24" spans="1:12">
      <c r="A24" s="5" t="s">
        <v>57</v>
      </c>
      <c r="B24" s="5" t="s">
        <v>41</v>
      </c>
      <c r="C24" s="5" t="s">
        <v>40</v>
      </c>
      <c r="D24" s="5" t="s">
        <v>42</v>
      </c>
      <c r="E24" s="5" t="s">
        <v>43</v>
      </c>
      <c r="F24" s="5" t="s">
        <v>47</v>
      </c>
      <c r="G24" s="5" t="s">
        <v>58</v>
      </c>
    </row>
    <row r="25" spans="1:12" ht="15.75">
      <c r="A25" s="3" t="s">
        <v>59</v>
      </c>
      <c r="B25" s="3">
        <v>322595238.09523869</v>
      </c>
      <c r="C25" s="3">
        <v>2</v>
      </c>
      <c r="D25" s="3">
        <v>161297619.04761934</v>
      </c>
      <c r="E25" s="3">
        <v>0.63690398466512532</v>
      </c>
      <c r="F25" s="3">
        <v>0.54043665457145207</v>
      </c>
      <c r="G25" s="3">
        <v>3.5545571457137326</v>
      </c>
      <c r="J25" s="1"/>
      <c r="K25" s="1"/>
      <c r="L25" s="1"/>
    </row>
    <row r="26" spans="1:12" ht="15.75">
      <c r="A26" s="3" t="s">
        <v>60</v>
      </c>
      <c r="B26" s="3">
        <v>4558547619.0476189</v>
      </c>
      <c r="C26" s="3">
        <v>18</v>
      </c>
      <c r="D26" s="3">
        <v>253252645.50264549</v>
      </c>
      <c r="E26" s="3"/>
      <c r="F26" s="3"/>
      <c r="G26" s="3"/>
      <c r="J26" s="2"/>
      <c r="K26" s="2"/>
      <c r="L26" s="2"/>
    </row>
    <row r="27" spans="1:12" ht="15.75">
      <c r="A27" s="3"/>
      <c r="B27" s="3"/>
      <c r="C27" s="3"/>
      <c r="D27" s="3"/>
      <c r="E27" s="3"/>
      <c r="F27" s="3"/>
      <c r="G27" s="3"/>
      <c r="J27" s="2"/>
      <c r="K27" s="2"/>
      <c r="L27" s="2"/>
    </row>
    <row r="28" spans="1:12" ht="16.5" thickBot="1">
      <c r="A28" s="4" t="s">
        <v>38</v>
      </c>
      <c r="B28" s="4">
        <v>4881142857.1428576</v>
      </c>
      <c r="C28" s="4">
        <v>20</v>
      </c>
      <c r="D28" s="4"/>
      <c r="E28" s="4"/>
      <c r="F28" s="4"/>
      <c r="G28" s="4"/>
      <c r="J28" s="2"/>
      <c r="K28" s="2"/>
      <c r="L28" s="2"/>
    </row>
    <row r="29" spans="1:12" ht="15.75">
      <c r="J29" s="2"/>
      <c r="K29" s="2"/>
      <c r="L29" s="2"/>
    </row>
    <row r="30" spans="1:12" ht="15.75">
      <c r="J30" s="2"/>
      <c r="K30" s="2"/>
      <c r="L30" s="2"/>
    </row>
    <row r="31" spans="1:12" ht="15.75">
      <c r="J31" s="2"/>
      <c r="K31" s="2"/>
      <c r="L31" s="2"/>
    </row>
    <row r="32" spans="1:12" ht="15.75">
      <c r="J32" s="2"/>
      <c r="K32" s="9"/>
      <c r="L32" s="2"/>
    </row>
    <row r="33" spans="10:12" ht="15.75">
      <c r="J33" s="2"/>
      <c r="K33" s="9"/>
      <c r="L33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J2" sqref="J2"/>
    </sheetView>
  </sheetViews>
  <sheetFormatPr defaultRowHeight="15"/>
  <sheetData>
    <row r="1" spans="1:6" ht="31.5">
      <c r="A1" s="1" t="s">
        <v>1</v>
      </c>
      <c r="B1" s="1" t="s">
        <v>61</v>
      </c>
      <c r="C1" s="1" t="s">
        <v>61</v>
      </c>
      <c r="D1" s="1" t="s">
        <v>62</v>
      </c>
      <c r="E1" s="1" t="s">
        <v>62</v>
      </c>
    </row>
    <row r="2" spans="1:6" ht="15.75">
      <c r="A2" s="2" t="s">
        <v>7</v>
      </c>
      <c r="B2" s="2">
        <v>35000</v>
      </c>
      <c r="C2" s="2">
        <v>38000</v>
      </c>
      <c r="D2" s="2">
        <v>70000</v>
      </c>
      <c r="E2" s="2">
        <v>72000</v>
      </c>
    </row>
    <row r="3" spans="1:6" ht="15.75">
      <c r="A3" s="2" t="s">
        <v>8</v>
      </c>
      <c r="B3" s="2">
        <v>34000</v>
      </c>
      <c r="C3" s="2">
        <v>36000</v>
      </c>
      <c r="D3" s="2">
        <v>65000</v>
      </c>
      <c r="E3" s="2">
        <v>68000</v>
      </c>
    </row>
    <row r="4" spans="1:6" ht="15.75">
      <c r="A4" s="2" t="s">
        <v>9</v>
      </c>
      <c r="B4" s="2">
        <v>38000</v>
      </c>
      <c r="C4" s="2">
        <v>40000</v>
      </c>
      <c r="D4" s="2">
        <v>70000</v>
      </c>
      <c r="E4" s="2">
        <v>75000</v>
      </c>
    </row>
    <row r="6" spans="1:6">
      <c r="A6" t="s">
        <v>63</v>
      </c>
    </row>
    <row r="8" spans="1:6">
      <c r="A8" t="s">
        <v>53</v>
      </c>
      <c r="B8" t="s">
        <v>61</v>
      </c>
      <c r="C8" t="s">
        <v>61</v>
      </c>
      <c r="D8" t="s">
        <v>62</v>
      </c>
      <c r="E8" t="s">
        <v>62</v>
      </c>
      <c r="F8" t="s">
        <v>38</v>
      </c>
    </row>
    <row r="9" spans="1:6" ht="15.75" thickBot="1">
      <c r="A9" s="10" t="s">
        <v>7</v>
      </c>
      <c r="B9" s="10"/>
      <c r="C9" s="10"/>
      <c r="D9" s="10"/>
      <c r="E9" s="10"/>
      <c r="F9" s="10"/>
    </row>
    <row r="10" spans="1:6">
      <c r="A10" s="3" t="s">
        <v>22</v>
      </c>
      <c r="B10" s="3">
        <v>3</v>
      </c>
      <c r="C10" s="3">
        <v>3</v>
      </c>
      <c r="D10" s="3">
        <v>3</v>
      </c>
      <c r="E10" s="3">
        <v>3</v>
      </c>
      <c r="F10" s="3">
        <v>12</v>
      </c>
    </row>
    <row r="11" spans="1:6">
      <c r="A11" s="3" t="s">
        <v>21</v>
      </c>
      <c r="B11" s="3">
        <v>107000</v>
      </c>
      <c r="C11" s="3">
        <v>114000</v>
      </c>
      <c r="D11" s="3">
        <v>205000</v>
      </c>
      <c r="E11" s="3">
        <v>215000</v>
      </c>
      <c r="F11" s="3">
        <v>641000</v>
      </c>
    </row>
    <row r="12" spans="1:6">
      <c r="A12" s="3" t="s">
        <v>55</v>
      </c>
      <c r="B12" s="3">
        <v>35666.666666666664</v>
      </c>
      <c r="C12" s="3">
        <v>38000</v>
      </c>
      <c r="D12" s="3">
        <v>68333.333333333328</v>
      </c>
      <c r="E12" s="3">
        <v>71666.666666666672</v>
      </c>
      <c r="F12" s="3">
        <v>53416.666666666664</v>
      </c>
    </row>
    <row r="13" spans="1:6">
      <c r="A13" s="3" t="s">
        <v>56</v>
      </c>
      <c r="B13" s="3">
        <v>4333333.3333332539</v>
      </c>
      <c r="C13" s="3">
        <v>4000000</v>
      </c>
      <c r="D13" s="3">
        <v>8333333.3333330154</v>
      </c>
      <c r="E13" s="3">
        <v>12333333.333333015</v>
      </c>
      <c r="F13" s="3">
        <v>307537878.78787893</v>
      </c>
    </row>
    <row r="14" spans="1:6">
      <c r="A14" s="3"/>
      <c r="B14" s="3"/>
      <c r="C14" s="3"/>
      <c r="D14" s="3"/>
      <c r="E14" s="3"/>
      <c r="F14" s="3"/>
    </row>
    <row r="15" spans="1:6" ht="15.75" thickBot="1">
      <c r="A15" s="10" t="s">
        <v>38</v>
      </c>
      <c r="B15" s="10"/>
      <c r="C15" s="10"/>
    </row>
    <row r="16" spans="1:6">
      <c r="A16" s="3" t="s">
        <v>22</v>
      </c>
      <c r="B16" s="3">
        <v>3</v>
      </c>
      <c r="C16" s="3">
        <v>3</v>
      </c>
      <c r="D16">
        <v>3</v>
      </c>
      <c r="E16">
        <v>3</v>
      </c>
    </row>
    <row r="17" spans="1:7">
      <c r="A17" s="3" t="s">
        <v>21</v>
      </c>
      <c r="B17" s="3">
        <v>107000</v>
      </c>
      <c r="C17" s="3">
        <v>114000</v>
      </c>
      <c r="D17">
        <v>205000</v>
      </c>
      <c r="E17">
        <v>215000</v>
      </c>
    </row>
    <row r="18" spans="1:7">
      <c r="A18" s="3" t="s">
        <v>55</v>
      </c>
      <c r="B18" s="3">
        <v>35666.666666666664</v>
      </c>
      <c r="C18" s="3">
        <v>38000</v>
      </c>
      <c r="D18">
        <v>68333.333333333328</v>
      </c>
      <c r="E18">
        <v>71666.666666666672</v>
      </c>
    </row>
    <row r="19" spans="1:7">
      <c r="A19" s="3" t="s">
        <v>56</v>
      </c>
      <c r="B19" s="3">
        <v>4333333.3333332539</v>
      </c>
      <c r="C19" s="3">
        <v>4000000</v>
      </c>
      <c r="D19">
        <v>8333333.3333330154</v>
      </c>
      <c r="E19">
        <v>12333333.333333015</v>
      </c>
    </row>
    <row r="20" spans="1:7">
      <c r="A20" s="3"/>
      <c r="B20" s="3"/>
      <c r="C20" s="3"/>
    </row>
    <row r="22" spans="1:7" ht="15.75" thickBot="1">
      <c r="A22" t="s">
        <v>35</v>
      </c>
    </row>
    <row r="23" spans="1:7">
      <c r="A23" s="5" t="s">
        <v>57</v>
      </c>
      <c r="B23" s="5" t="s">
        <v>41</v>
      </c>
      <c r="C23" s="5" t="s">
        <v>40</v>
      </c>
      <c r="D23" s="5" t="s">
        <v>42</v>
      </c>
      <c r="E23" s="5" t="s">
        <v>43</v>
      </c>
      <c r="F23" s="5" t="s">
        <v>47</v>
      </c>
      <c r="G23" s="5" t="s">
        <v>58</v>
      </c>
    </row>
    <row r="24" spans="1:7">
      <c r="A24" s="3" t="s">
        <v>64</v>
      </c>
      <c r="B24" s="3">
        <v>0</v>
      </c>
      <c r="C24" s="3">
        <v>0</v>
      </c>
      <c r="D24" s="3">
        <v>65535</v>
      </c>
      <c r="E24" s="3">
        <v>65535</v>
      </c>
      <c r="F24" s="3" t="e">
        <v>#NUM!</v>
      </c>
      <c r="G24" s="3" t="e">
        <v>#NUM!</v>
      </c>
    </row>
    <row r="25" spans="1:7">
      <c r="A25" s="3" t="s">
        <v>65</v>
      </c>
      <c r="B25" s="3">
        <v>3324916666.666667</v>
      </c>
      <c r="C25" s="3">
        <v>3</v>
      </c>
      <c r="D25" s="3">
        <v>1108305555.5555556</v>
      </c>
      <c r="E25" s="3">
        <v>152.86973180076629</v>
      </c>
      <c r="F25" s="3">
        <v>2.1117763520225383E-7</v>
      </c>
      <c r="G25" s="3">
        <v>4.0661805566468345</v>
      </c>
    </row>
    <row r="26" spans="1:7">
      <c r="A26" s="3" t="s">
        <v>66</v>
      </c>
      <c r="B26" s="3">
        <v>0</v>
      </c>
      <c r="C26" s="3">
        <v>0</v>
      </c>
      <c r="D26" s="3">
        <v>65535</v>
      </c>
      <c r="E26" s="3">
        <v>65535</v>
      </c>
      <c r="F26" s="3" t="e">
        <v>#NUM!</v>
      </c>
      <c r="G26" s="3" t="e">
        <v>#NUM!</v>
      </c>
    </row>
    <row r="27" spans="1:7">
      <c r="A27" s="3" t="s">
        <v>67</v>
      </c>
      <c r="B27" s="3">
        <v>58000000</v>
      </c>
      <c r="C27" s="3">
        <v>8</v>
      </c>
      <c r="D27" s="3">
        <v>7250000</v>
      </c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 ht="15.75" thickBot="1">
      <c r="A29" s="4" t="s">
        <v>38</v>
      </c>
      <c r="B29" s="4">
        <v>3382916666.666667</v>
      </c>
      <c r="C29" s="4">
        <v>11</v>
      </c>
      <c r="D29" s="4"/>
      <c r="E29" s="4"/>
      <c r="F29" s="4"/>
      <c r="G29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sqref="A1:D4"/>
    </sheetView>
  </sheetViews>
  <sheetFormatPr defaultRowHeight="15"/>
  <cols>
    <col min="1" max="1" width="16.7109375" customWidth="1"/>
  </cols>
  <sheetData>
    <row r="1" spans="1:5" ht="15.75">
      <c r="A1" s="1" t="s">
        <v>1</v>
      </c>
      <c r="B1" s="1">
        <v>2024</v>
      </c>
      <c r="C1" s="1">
        <v>2025</v>
      </c>
      <c r="D1" s="1">
        <v>2026</v>
      </c>
    </row>
    <row r="2" spans="1:5" ht="15.75">
      <c r="A2" s="2" t="s">
        <v>7</v>
      </c>
      <c r="B2" s="2">
        <v>55000</v>
      </c>
      <c r="C2" s="2">
        <v>62000</v>
      </c>
      <c r="D2" s="2">
        <v>70000</v>
      </c>
    </row>
    <row r="3" spans="1:5" ht="15.75">
      <c r="A3" s="2" t="s">
        <v>8</v>
      </c>
      <c r="B3" s="2">
        <v>48000</v>
      </c>
      <c r="C3" s="2">
        <v>55000</v>
      </c>
      <c r="D3" s="2">
        <v>61000</v>
      </c>
    </row>
    <row r="4" spans="1:5" ht="15.75">
      <c r="A4" s="2" t="s">
        <v>9</v>
      </c>
      <c r="B4" s="2">
        <v>52000</v>
      </c>
      <c r="C4" s="2">
        <v>58000</v>
      </c>
      <c r="D4" s="2">
        <v>68000</v>
      </c>
    </row>
    <row r="7" spans="1:5">
      <c r="A7" t="s">
        <v>68</v>
      </c>
    </row>
    <row r="8" spans="1:5" ht="15.75" thickBot="1"/>
    <row r="9" spans="1:5">
      <c r="A9" s="5" t="s">
        <v>53</v>
      </c>
      <c r="B9" s="5" t="s">
        <v>22</v>
      </c>
      <c r="C9" s="5" t="s">
        <v>21</v>
      </c>
      <c r="D9" s="5" t="s">
        <v>55</v>
      </c>
      <c r="E9" s="5" t="s">
        <v>56</v>
      </c>
    </row>
    <row r="10" spans="1:5">
      <c r="A10" s="3" t="s">
        <v>7</v>
      </c>
      <c r="B10" s="3">
        <v>3</v>
      </c>
      <c r="C10" s="3">
        <v>187000</v>
      </c>
      <c r="D10" s="3">
        <v>62333.333333333336</v>
      </c>
      <c r="E10" s="3">
        <v>56333333.333333015</v>
      </c>
    </row>
    <row r="11" spans="1:5">
      <c r="A11" s="3" t="s">
        <v>8</v>
      </c>
      <c r="B11" s="3">
        <v>3</v>
      </c>
      <c r="C11" s="3">
        <v>164000</v>
      </c>
      <c r="D11" s="3">
        <v>54666.666666666664</v>
      </c>
      <c r="E11" s="3">
        <v>42333333.333333015</v>
      </c>
    </row>
    <row r="12" spans="1:5">
      <c r="A12" s="3" t="s">
        <v>9</v>
      </c>
      <c r="B12" s="3">
        <v>3</v>
      </c>
      <c r="C12" s="3">
        <v>178000</v>
      </c>
      <c r="D12" s="3">
        <v>59333.333333333336</v>
      </c>
      <c r="E12" s="3">
        <v>65333333.333333015</v>
      </c>
    </row>
    <row r="13" spans="1:5">
      <c r="A13" s="3"/>
      <c r="B13" s="3"/>
      <c r="C13" s="3"/>
      <c r="D13" s="3"/>
      <c r="E13" s="3"/>
    </row>
    <row r="14" spans="1:5">
      <c r="A14" s="3">
        <v>2024</v>
      </c>
      <c r="B14" s="3">
        <v>3</v>
      </c>
      <c r="C14" s="3">
        <v>155000</v>
      </c>
      <c r="D14" s="3">
        <v>51666.666666666664</v>
      </c>
      <c r="E14" s="3">
        <v>12333333.333333492</v>
      </c>
    </row>
    <row r="15" spans="1:5">
      <c r="A15" s="3">
        <v>2025</v>
      </c>
      <c r="B15" s="3">
        <v>3</v>
      </c>
      <c r="C15" s="3">
        <v>175000</v>
      </c>
      <c r="D15" s="3">
        <v>58333.333333333336</v>
      </c>
      <c r="E15" s="3">
        <v>12333333.333333015</v>
      </c>
    </row>
    <row r="16" spans="1:5" ht="15.75" thickBot="1">
      <c r="A16" s="4">
        <v>2026</v>
      </c>
      <c r="B16" s="4">
        <v>3</v>
      </c>
      <c r="C16" s="4">
        <v>199000</v>
      </c>
      <c r="D16" s="4">
        <v>66333.333333333328</v>
      </c>
      <c r="E16" s="4">
        <v>22333333.333333015</v>
      </c>
    </row>
    <row r="19" spans="1:7" ht="15.75" thickBot="1">
      <c r="A19" t="s">
        <v>35</v>
      </c>
    </row>
    <row r="20" spans="1:7">
      <c r="A20" s="5" t="s">
        <v>57</v>
      </c>
      <c r="B20" s="5" t="s">
        <v>41</v>
      </c>
      <c r="C20" s="5" t="s">
        <v>40</v>
      </c>
      <c r="D20" s="5" t="s">
        <v>42</v>
      </c>
      <c r="E20" s="5" t="s">
        <v>43</v>
      </c>
      <c r="F20" s="5" t="s">
        <v>47</v>
      </c>
      <c r="G20" s="5" t="s">
        <v>58</v>
      </c>
    </row>
    <row r="21" spans="1:7">
      <c r="A21" s="3" t="s">
        <v>69</v>
      </c>
      <c r="B21" s="3">
        <v>89555555.555555582</v>
      </c>
      <c r="C21" s="3">
        <v>2</v>
      </c>
      <c r="D21" s="3">
        <v>44777777.777777791</v>
      </c>
      <c r="E21" s="3">
        <v>40.300000000000253</v>
      </c>
      <c r="F21" s="3">
        <v>2.2355235875846902E-3</v>
      </c>
      <c r="G21" s="3">
        <v>6.9442719100320947</v>
      </c>
    </row>
    <row r="22" spans="1:7">
      <c r="A22" s="3" t="s">
        <v>65</v>
      </c>
      <c r="B22" s="3">
        <v>323555555.55555558</v>
      </c>
      <c r="C22" s="3">
        <v>2</v>
      </c>
      <c r="D22" s="3">
        <v>161777777.77777779</v>
      </c>
      <c r="E22" s="3">
        <v>145.60000000000088</v>
      </c>
      <c r="F22" s="3">
        <v>1.8360617210643154E-4</v>
      </c>
      <c r="G22" s="3">
        <v>6.9442719100320947</v>
      </c>
    </row>
    <row r="23" spans="1:7">
      <c r="A23" s="3" t="s">
        <v>70</v>
      </c>
      <c r="B23" s="3">
        <v>4444444.444444418</v>
      </c>
      <c r="C23" s="3">
        <v>4</v>
      </c>
      <c r="D23" s="3">
        <v>1111111.1111111045</v>
      </c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 ht="15.75" thickBot="1">
      <c r="A25" s="4" t="s">
        <v>38</v>
      </c>
      <c r="B25" s="4">
        <v>417555555.55555558</v>
      </c>
      <c r="C25" s="4">
        <v>8</v>
      </c>
      <c r="D25" s="4"/>
      <c r="E25" s="4"/>
      <c r="F25" s="4"/>
      <c r="G25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D22" sqref="D22"/>
    </sheetView>
  </sheetViews>
  <sheetFormatPr defaultRowHeight="15"/>
  <sheetData>
    <row r="1" spans="1:6" ht="15.75">
      <c r="A1" s="1" t="s">
        <v>71</v>
      </c>
      <c r="B1" s="1" t="s">
        <v>72</v>
      </c>
      <c r="F1" t="e">
        <v>#N/A</v>
      </c>
    </row>
    <row r="2" spans="1:6" ht="15.75">
      <c r="A2" s="2" t="s">
        <v>73</v>
      </c>
      <c r="B2" s="2">
        <v>120000</v>
      </c>
      <c r="F2" t="e">
        <v>#N/A</v>
      </c>
    </row>
    <row r="3" spans="1:6" ht="15.75">
      <c r="A3" s="2" t="s">
        <v>74</v>
      </c>
      <c r="B3" s="2">
        <v>135000</v>
      </c>
      <c r="F3">
        <f t="shared" ref="F3:F12" si="0">AVERAGE(B2:B4)</f>
        <v>127666.66666666667</v>
      </c>
    </row>
    <row r="4" spans="1:6" ht="15.75">
      <c r="A4" s="2" t="s">
        <v>75</v>
      </c>
      <c r="B4" s="2">
        <v>128000</v>
      </c>
      <c r="F4">
        <f t="shared" si="0"/>
        <v>136000</v>
      </c>
    </row>
    <row r="5" spans="1:6" ht="15.75">
      <c r="A5" s="2" t="s">
        <v>76</v>
      </c>
      <c r="B5" s="2">
        <v>145000</v>
      </c>
      <c r="F5">
        <f t="shared" si="0"/>
        <v>141666.66666666666</v>
      </c>
    </row>
    <row r="6" spans="1:6" ht="15.75">
      <c r="A6" s="2" t="s">
        <v>77</v>
      </c>
      <c r="B6" s="2">
        <v>152000</v>
      </c>
      <c r="F6">
        <f t="shared" si="0"/>
        <v>152333.33333333334</v>
      </c>
    </row>
    <row r="7" spans="1:6" ht="15.75">
      <c r="A7" s="2" t="s">
        <v>78</v>
      </c>
      <c r="B7" s="2">
        <v>160000</v>
      </c>
      <c r="F7">
        <f t="shared" si="0"/>
        <v>155666.66666666666</v>
      </c>
    </row>
    <row r="8" spans="1:6" ht="15.75">
      <c r="A8" s="2" t="s">
        <v>79</v>
      </c>
      <c r="B8" s="2">
        <v>155000</v>
      </c>
      <c r="F8">
        <f t="shared" si="0"/>
        <v>161666.66666666666</v>
      </c>
    </row>
    <row r="9" spans="1:6" ht="15.75">
      <c r="A9" s="2" t="s">
        <v>80</v>
      </c>
      <c r="B9" s="2">
        <v>170000</v>
      </c>
      <c r="F9">
        <f t="shared" si="0"/>
        <v>168333.33333333334</v>
      </c>
    </row>
    <row r="10" spans="1:6" ht="15.75">
      <c r="A10" s="2" t="s">
        <v>81</v>
      </c>
      <c r="B10" s="2">
        <v>180000</v>
      </c>
      <c r="F10">
        <f t="shared" si="0"/>
        <v>175000</v>
      </c>
    </row>
    <row r="11" spans="1:6" ht="15.75">
      <c r="A11" s="2" t="s">
        <v>82</v>
      </c>
      <c r="B11" s="2">
        <v>175000</v>
      </c>
      <c r="F11">
        <f t="shared" si="0"/>
        <v>181666.66666666666</v>
      </c>
    </row>
    <row r="12" spans="1:6" ht="15.75">
      <c r="A12" s="2" t="s">
        <v>83</v>
      </c>
      <c r="B12" s="2">
        <v>190000</v>
      </c>
      <c r="F12">
        <f t="shared" si="0"/>
        <v>190000</v>
      </c>
    </row>
    <row r="13" spans="1:6" ht="15.75">
      <c r="A13" s="2" t="s">
        <v>84</v>
      </c>
      <c r="B13" s="2">
        <v>205000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F8" sqref="F8"/>
    </sheetView>
  </sheetViews>
  <sheetFormatPr defaultRowHeight="15"/>
  <sheetData>
    <row r="1" spans="1:3">
      <c r="A1" t="s">
        <v>102</v>
      </c>
    </row>
    <row r="2" spans="1:3" ht="15.75" thickBot="1"/>
    <row r="3" spans="1:3">
      <c r="A3" s="5"/>
      <c r="B3" s="5" t="s">
        <v>91</v>
      </c>
      <c r="C3" s="5" t="s">
        <v>92</v>
      </c>
    </row>
    <row r="4" spans="1:3">
      <c r="A4" s="3" t="s">
        <v>10</v>
      </c>
      <c r="B4" s="3">
        <v>70</v>
      </c>
      <c r="C4" s="3">
        <v>77</v>
      </c>
    </row>
    <row r="5" spans="1:3">
      <c r="A5" s="3" t="s">
        <v>56</v>
      </c>
      <c r="B5" s="3">
        <v>14.5</v>
      </c>
      <c r="C5" s="3">
        <v>16</v>
      </c>
    </row>
    <row r="6" spans="1:3">
      <c r="A6" s="3" t="s">
        <v>34</v>
      </c>
      <c r="B6" s="3">
        <v>5</v>
      </c>
      <c r="C6" s="3">
        <v>5</v>
      </c>
    </row>
    <row r="7" spans="1:3">
      <c r="A7" s="3" t="s">
        <v>95</v>
      </c>
      <c r="B7" s="3">
        <v>0</v>
      </c>
      <c r="C7" s="3"/>
    </row>
    <row r="8" spans="1:3">
      <c r="A8" s="3" t="s">
        <v>40</v>
      </c>
      <c r="B8" s="3">
        <v>8</v>
      </c>
      <c r="C8" s="3"/>
    </row>
    <row r="9" spans="1:3">
      <c r="A9" s="3" t="s">
        <v>46</v>
      </c>
      <c r="B9" s="3">
        <v>-2.8342171556262059</v>
      </c>
      <c r="C9" s="3"/>
    </row>
    <row r="10" spans="1:3">
      <c r="A10" s="3" t="s">
        <v>96</v>
      </c>
      <c r="B10" s="3">
        <v>1.1003455677193883E-2</v>
      </c>
      <c r="C10" s="3"/>
    </row>
    <row r="11" spans="1:3">
      <c r="A11" s="3" t="s">
        <v>97</v>
      </c>
      <c r="B11" s="3">
        <v>1.8595480333018273</v>
      </c>
      <c r="C11" s="3"/>
    </row>
    <row r="12" spans="1:3">
      <c r="A12" s="3" t="s">
        <v>98</v>
      </c>
      <c r="B12" s="3">
        <v>2.2006911354387766E-2</v>
      </c>
      <c r="C12" s="3"/>
    </row>
    <row r="13" spans="1:3" ht="15.75" thickBot="1">
      <c r="A13" s="4" t="s">
        <v>99</v>
      </c>
      <c r="B13" s="4">
        <v>2.3060041332991172</v>
      </c>
      <c r="C13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E8" sqref="E8"/>
    </sheetView>
  </sheetViews>
  <sheetFormatPr defaultRowHeight="15"/>
  <sheetData>
    <row r="1" spans="1:3">
      <c r="A1" t="s">
        <v>103</v>
      </c>
    </row>
    <row r="2" spans="1:3" ht="15.75" thickBot="1"/>
    <row r="3" spans="1:3">
      <c r="A3" s="5"/>
      <c r="B3" s="5" t="s">
        <v>91</v>
      </c>
      <c r="C3" s="5" t="s">
        <v>92</v>
      </c>
    </row>
    <row r="4" spans="1:3">
      <c r="A4" s="3" t="s">
        <v>10</v>
      </c>
      <c r="B4" s="3">
        <v>70</v>
      </c>
      <c r="C4" s="3">
        <v>77</v>
      </c>
    </row>
    <row r="5" spans="1:3">
      <c r="A5" s="3" t="s">
        <v>56</v>
      </c>
      <c r="B5" s="3">
        <v>14.5</v>
      </c>
      <c r="C5" s="3">
        <v>16</v>
      </c>
    </row>
    <row r="6" spans="1:3">
      <c r="A6" s="3" t="s">
        <v>34</v>
      </c>
      <c r="B6" s="3">
        <v>5</v>
      </c>
      <c r="C6" s="3">
        <v>5</v>
      </c>
    </row>
    <row r="7" spans="1:3">
      <c r="A7" s="3" t="s">
        <v>104</v>
      </c>
      <c r="B7" s="3">
        <v>15.25</v>
      </c>
      <c r="C7" s="3"/>
    </row>
    <row r="8" spans="1:3">
      <c r="A8" s="3" t="s">
        <v>95</v>
      </c>
      <c r="B8" s="3">
        <v>0</v>
      </c>
      <c r="C8" s="3"/>
    </row>
    <row r="9" spans="1:3">
      <c r="A9" s="3" t="s">
        <v>40</v>
      </c>
      <c r="B9" s="3">
        <v>8</v>
      </c>
      <c r="C9" s="3"/>
    </row>
    <row r="10" spans="1:3">
      <c r="A10" s="3" t="s">
        <v>46</v>
      </c>
      <c r="B10" s="3">
        <v>-2.8342171556262059</v>
      </c>
      <c r="C10" s="3"/>
    </row>
    <row r="11" spans="1:3">
      <c r="A11" s="3" t="s">
        <v>96</v>
      </c>
      <c r="B11" s="3">
        <v>1.1003455677193883E-2</v>
      </c>
      <c r="C11" s="3"/>
    </row>
    <row r="12" spans="1:3">
      <c r="A12" s="3" t="s">
        <v>97</v>
      </c>
      <c r="B12" s="3">
        <v>1.8595480333018273</v>
      </c>
      <c r="C12" s="3"/>
    </row>
    <row r="13" spans="1:3">
      <c r="A13" s="3" t="s">
        <v>98</v>
      </c>
      <c r="B13" s="3">
        <v>2.2006911354387766E-2</v>
      </c>
      <c r="C13" s="3"/>
    </row>
    <row r="14" spans="1:3" ht="15.75" thickBot="1">
      <c r="A14" s="4" t="s">
        <v>99</v>
      </c>
      <c r="B14" s="4">
        <v>2.3060041332991172</v>
      </c>
      <c r="C14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E3" sqref="E3"/>
    </sheetView>
  </sheetViews>
  <sheetFormatPr defaultRowHeight="15"/>
  <cols>
    <col min="1" max="1" width="22.28515625" customWidth="1"/>
  </cols>
  <sheetData>
    <row r="1" spans="1:3" ht="31.5">
      <c r="A1" s="1" t="s">
        <v>85</v>
      </c>
      <c r="B1" s="1" t="s">
        <v>91</v>
      </c>
      <c r="C1" s="1" t="s">
        <v>92</v>
      </c>
    </row>
    <row r="2" spans="1:3" ht="15.75">
      <c r="A2" s="2">
        <v>1</v>
      </c>
      <c r="B2" s="2">
        <v>65</v>
      </c>
      <c r="C2" s="2">
        <v>72</v>
      </c>
    </row>
    <row r="3" spans="1:3" ht="15.75">
      <c r="A3" s="2">
        <v>2</v>
      </c>
      <c r="B3" s="2">
        <v>70</v>
      </c>
      <c r="C3" s="2">
        <v>76</v>
      </c>
    </row>
    <row r="4" spans="1:3" ht="15.75">
      <c r="A4" s="2">
        <v>3</v>
      </c>
      <c r="B4" s="2">
        <v>68</v>
      </c>
      <c r="C4" s="2">
        <v>75</v>
      </c>
    </row>
    <row r="5" spans="1:3" ht="15.75">
      <c r="A5" s="2">
        <v>4</v>
      </c>
      <c r="B5" s="2">
        <v>72</v>
      </c>
      <c r="C5" s="2">
        <v>80</v>
      </c>
    </row>
    <row r="6" spans="1:3" ht="15.75">
      <c r="A6" s="2">
        <v>5</v>
      </c>
      <c r="B6" s="2">
        <v>75</v>
      </c>
      <c r="C6" s="2">
        <v>82</v>
      </c>
    </row>
    <row r="7" spans="1:3" ht="15.75">
      <c r="A7" s="2"/>
      <c r="B7" s="2"/>
      <c r="C7" s="2"/>
    </row>
    <row r="8" spans="1:3" ht="15.75">
      <c r="A8" s="2"/>
      <c r="B8" s="2"/>
      <c r="C8" s="2"/>
    </row>
    <row r="9" spans="1:3">
      <c r="A9" t="s">
        <v>93</v>
      </c>
    </row>
    <row r="10" spans="1:3" ht="15.75" thickBot="1"/>
    <row r="11" spans="1:3">
      <c r="A11" s="5"/>
      <c r="B11" s="5" t="s">
        <v>91</v>
      </c>
      <c r="C11" s="5" t="s">
        <v>92</v>
      </c>
    </row>
    <row r="12" spans="1:3">
      <c r="A12" s="3" t="s">
        <v>10</v>
      </c>
      <c r="B12" s="3">
        <v>70</v>
      </c>
      <c r="C12" s="3">
        <v>77</v>
      </c>
    </row>
    <row r="13" spans="1:3">
      <c r="A13" s="3" t="s">
        <v>56</v>
      </c>
      <c r="B13" s="3">
        <v>14.5</v>
      </c>
      <c r="C13" s="3">
        <v>16</v>
      </c>
    </row>
    <row r="14" spans="1:3">
      <c r="A14" s="3" t="s">
        <v>34</v>
      </c>
      <c r="B14" s="3">
        <v>5</v>
      </c>
      <c r="C14" s="3">
        <v>5</v>
      </c>
    </row>
    <row r="15" spans="1:3">
      <c r="A15" s="3" t="s">
        <v>94</v>
      </c>
      <c r="B15" s="3">
        <v>0.98479824644791925</v>
      </c>
      <c r="C15" s="3"/>
    </row>
    <row r="16" spans="1:3" ht="14.25" customHeight="1">
      <c r="A16" s="11" t="s">
        <v>95</v>
      </c>
      <c r="B16" s="3">
        <v>0</v>
      </c>
      <c r="C16" s="3"/>
    </row>
    <row r="17" spans="1:3">
      <c r="A17" s="3" t="s">
        <v>40</v>
      </c>
      <c r="B17" s="3">
        <v>4</v>
      </c>
      <c r="C17" s="3"/>
    </row>
    <row r="18" spans="1:3">
      <c r="A18" s="3" t="s">
        <v>46</v>
      </c>
      <c r="B18" s="3">
        <v>-22.135943621178654</v>
      </c>
      <c r="C18" s="3"/>
    </row>
    <row r="19" spans="1:3">
      <c r="A19" s="3" t="s">
        <v>96</v>
      </c>
      <c r="B19" s="3">
        <v>1.2326600361463855E-5</v>
      </c>
      <c r="C19" s="3"/>
    </row>
    <row r="20" spans="1:3">
      <c r="A20" s="3" t="s">
        <v>97</v>
      </c>
      <c r="B20" s="3">
        <v>2.1318467819039775</v>
      </c>
      <c r="C20" s="3"/>
    </row>
    <row r="21" spans="1:3">
      <c r="A21" s="3" t="s">
        <v>98</v>
      </c>
      <c r="B21" s="3">
        <v>2.4653200722927709E-5</v>
      </c>
      <c r="C21" s="3"/>
    </row>
    <row r="22" spans="1:3" ht="15.75" thickBot="1">
      <c r="A22" s="4" t="s">
        <v>99</v>
      </c>
      <c r="B22" s="4">
        <v>2.7764451050438028</v>
      </c>
      <c r="C22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0" sqref="A10"/>
    </sheetView>
  </sheetViews>
  <sheetFormatPr defaultRowHeight="15"/>
  <cols>
    <col min="1" max="1" width="10.85546875" customWidth="1"/>
  </cols>
  <sheetData>
    <row r="1" spans="1:3" ht="15" customHeight="1">
      <c r="A1" s="1" t="s">
        <v>85</v>
      </c>
      <c r="B1" s="1" t="s">
        <v>4</v>
      </c>
    </row>
    <row r="2" spans="1:3" ht="15.75">
      <c r="A2" s="2" t="s">
        <v>86</v>
      </c>
      <c r="B2" s="2">
        <v>35000</v>
      </c>
    </row>
    <row r="3" spans="1:3" ht="15.75">
      <c r="A3" s="2" t="s">
        <v>87</v>
      </c>
      <c r="B3" s="2">
        <v>45000</v>
      </c>
    </row>
    <row r="4" spans="1:3" ht="15.75">
      <c r="A4" s="2" t="s">
        <v>88</v>
      </c>
      <c r="B4" s="2">
        <v>55000</v>
      </c>
    </row>
    <row r="5" spans="1:3" ht="15.75">
      <c r="A5" s="2" t="s">
        <v>89</v>
      </c>
      <c r="B5" s="2">
        <v>70000</v>
      </c>
    </row>
    <row r="6" spans="1:3" ht="15.75">
      <c r="A6" s="2" t="s">
        <v>90</v>
      </c>
      <c r="B6" s="2">
        <v>90000</v>
      </c>
    </row>
    <row r="8" spans="1:3" ht="15.75">
      <c r="A8" s="2" t="s">
        <v>100</v>
      </c>
      <c r="B8">
        <f>RANK(B2,B2:B6)</f>
        <v>5</v>
      </c>
    </row>
    <row r="9" spans="1:3" ht="15.75">
      <c r="A9" s="2" t="s">
        <v>101</v>
      </c>
      <c r="B9">
        <f>PERCENTRANK(B2:B6,B3)</f>
        <v>0.25</v>
      </c>
    </row>
    <row r="10" spans="1:3" ht="15.75">
      <c r="A10" s="1"/>
      <c r="B10" s="1"/>
      <c r="C10" s="1"/>
    </row>
    <row r="11" spans="1:3" ht="15.75">
      <c r="A11" s="2"/>
      <c r="B11" s="2"/>
      <c r="C11" s="2"/>
    </row>
    <row r="12" spans="1:3" ht="15.75">
      <c r="A12" s="2"/>
      <c r="B12" s="2"/>
      <c r="C12" s="2"/>
    </row>
    <row r="13" spans="1:3" ht="15.75">
      <c r="A13" s="2"/>
      <c r="B13" s="2"/>
      <c r="C13" s="2"/>
    </row>
    <row r="14" spans="1:3" ht="15.75">
      <c r="A14" s="2"/>
      <c r="B14" s="2"/>
      <c r="C14" s="2"/>
    </row>
    <row r="15" spans="1:3" ht="15.75">
      <c r="A15" s="2"/>
      <c r="B15" s="2"/>
      <c r="C1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3" sqref="A13"/>
    </sheetView>
  </sheetViews>
  <sheetFormatPr defaultRowHeight="15"/>
  <sheetData>
    <row r="1" spans="1:1">
      <c r="A1">
        <v>110</v>
      </c>
    </row>
    <row r="2" spans="1:1">
      <c r="A2">
        <v>108</v>
      </c>
    </row>
    <row r="3" spans="1:1">
      <c r="A3">
        <v>108</v>
      </c>
    </row>
    <row r="4" spans="1:1">
      <c r="A4">
        <v>112</v>
      </c>
    </row>
    <row r="5" spans="1:1">
      <c r="A5">
        <v>103</v>
      </c>
    </row>
    <row r="6" spans="1:1">
      <c r="A6">
        <v>108</v>
      </c>
    </row>
    <row r="7" spans="1:1">
      <c r="A7">
        <v>102</v>
      </c>
    </row>
    <row r="8" spans="1:1">
      <c r="A8">
        <v>112</v>
      </c>
    </row>
    <row r="9" spans="1:1">
      <c r="A9">
        <v>104</v>
      </c>
    </row>
    <row r="10" spans="1:1">
      <c r="A10">
        <v>111</v>
      </c>
    </row>
    <row r="11" spans="1:1">
      <c r="A11">
        <v>109</v>
      </c>
    </row>
    <row r="12" spans="1:1">
      <c r="A12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100"/>
  <sheetViews>
    <sheetView workbookViewId="0">
      <selection activeCell="K22" sqref="K22"/>
    </sheetView>
  </sheetViews>
  <sheetFormatPr defaultRowHeight="15"/>
  <sheetData>
    <row r="1" spans="1:1">
      <c r="A1">
        <v>10920.014700677712</v>
      </c>
    </row>
    <row r="2" spans="1:1">
      <c r="A2">
        <v>-11121.157386805862</v>
      </c>
    </row>
    <row r="3" spans="1:1">
      <c r="A3">
        <v>14079.531082534231</v>
      </c>
    </row>
    <row r="4" spans="1:1">
      <c r="A4">
        <v>23976.606952492148</v>
      </c>
    </row>
    <row r="5" spans="1:1">
      <c r="A5">
        <v>5716.2498150137253</v>
      </c>
    </row>
    <row r="6" spans="1:1">
      <c r="A6">
        <v>-2206.176633189898</v>
      </c>
    </row>
    <row r="7" spans="1:1">
      <c r="A7">
        <v>-3816.9599621323869</v>
      </c>
    </row>
    <row r="8" spans="1:1">
      <c r="A8">
        <v>23532.591639086604</v>
      </c>
    </row>
    <row r="9" spans="1:1">
      <c r="A9">
        <v>8174.0228223497979</v>
      </c>
    </row>
    <row r="10" spans="1:1">
      <c r="A10">
        <v>3472.9129209881648</v>
      </c>
    </row>
    <row r="11" spans="1:1">
      <c r="A11">
        <v>15233.088687527925</v>
      </c>
    </row>
    <row r="12" spans="1:1">
      <c r="A12">
        <v>21897.95681159012</v>
      </c>
    </row>
    <row r="13" spans="1:1">
      <c r="A13">
        <v>4554.2566466610879</v>
      </c>
    </row>
    <row r="14" spans="1:1">
      <c r="A14">
        <v>426.5035739808809</v>
      </c>
    </row>
    <row r="15" spans="1:1">
      <c r="A15">
        <v>-8015.8014144399203</v>
      </c>
    </row>
    <row r="16" spans="1:1">
      <c r="A16">
        <v>9421.1446947883815</v>
      </c>
    </row>
    <row r="17" spans="1:1">
      <c r="A17">
        <v>2875.443114025984</v>
      </c>
    </row>
    <row r="18" spans="1:1">
      <c r="A18">
        <v>14911.673259921372</v>
      </c>
    </row>
    <row r="19" spans="1:1">
      <c r="A19">
        <v>18256.908459879924</v>
      </c>
    </row>
    <row r="20" spans="1:1">
      <c r="A20">
        <v>-1872.9377744602971</v>
      </c>
    </row>
    <row r="21" spans="1:1">
      <c r="A21">
        <v>3135.3084876900539</v>
      </c>
    </row>
    <row r="22" spans="1:1">
      <c r="A22">
        <v>389.10060437046923</v>
      </c>
    </row>
    <row r="23" spans="1:1">
      <c r="A23">
        <v>11890.388704050565</v>
      </c>
    </row>
    <row r="24" spans="1:1">
      <c r="A24">
        <v>-219.53325005597435</v>
      </c>
    </row>
    <row r="25" spans="1:1">
      <c r="A25">
        <v>-17048.152459319681</v>
      </c>
    </row>
    <row r="26" spans="1:1">
      <c r="A26">
        <v>9649.2232286254875</v>
      </c>
    </row>
    <row r="27" spans="1:1">
      <c r="A27">
        <v>-3606.764367868891</v>
      </c>
    </row>
    <row r="28" spans="1:1">
      <c r="A28">
        <v>15074.245437863283</v>
      </c>
    </row>
    <row r="29" spans="1:1">
      <c r="A29">
        <v>8092.8731575841084</v>
      </c>
    </row>
    <row r="30" spans="1:1">
      <c r="A30">
        <v>9835.8401727455202</v>
      </c>
    </row>
    <row r="31" spans="1:1">
      <c r="A31">
        <v>-8652.1521199028939</v>
      </c>
    </row>
    <row r="32" spans="1:1">
      <c r="A32">
        <v>-2257.8359322506003</v>
      </c>
    </row>
    <row r="33" spans="1:1">
      <c r="A33">
        <v>15683.834261726588</v>
      </c>
    </row>
    <row r="34" spans="1:1">
      <c r="A34">
        <v>20719.160728622228</v>
      </c>
    </row>
    <row r="35" spans="1:1">
      <c r="A35">
        <v>15652.729542925954</v>
      </c>
    </row>
    <row r="36" spans="1:1">
      <c r="A36">
        <v>-18769.462131895125</v>
      </c>
    </row>
    <row r="37" spans="1:1">
      <c r="A37">
        <v>-4985.7061286456883</v>
      </c>
    </row>
    <row r="38" spans="1:1">
      <c r="A38">
        <v>5122.7817847393453</v>
      </c>
    </row>
    <row r="39" spans="1:1">
      <c r="A39">
        <v>11037.089406163432</v>
      </c>
    </row>
    <row r="40" spans="1:1">
      <c r="A40">
        <v>14617.178875487298</v>
      </c>
    </row>
    <row r="41" spans="1:1">
      <c r="A41">
        <v>-11171.861716429703</v>
      </c>
    </row>
    <row r="42" spans="1:1">
      <c r="A42">
        <v>11280.288289417513</v>
      </c>
    </row>
    <row r="43" spans="1:1">
      <c r="A43">
        <v>-379.75211045704782</v>
      </c>
    </row>
    <row r="44" spans="1:1">
      <c r="A44">
        <v>1640.3834150696639</v>
      </c>
    </row>
    <row r="45" spans="1:1">
      <c r="A45">
        <v>9279.0361476363614</v>
      </c>
    </row>
    <row r="46" spans="1:1">
      <c r="A46">
        <v>2149.3934936006553</v>
      </c>
    </row>
    <row r="47" spans="1:1">
      <c r="A47">
        <v>2192.3898556269705</v>
      </c>
    </row>
    <row r="48" spans="1:1">
      <c r="A48">
        <v>1210.6130624306388</v>
      </c>
    </row>
    <row r="49" spans="1:1">
      <c r="A49">
        <v>8677.8374123969115</v>
      </c>
    </row>
    <row r="50" spans="1:1">
      <c r="A50">
        <v>4496.0489857476205</v>
      </c>
    </row>
    <row r="51" spans="1:1">
      <c r="A51">
        <v>7346.5304366254713</v>
      </c>
    </row>
    <row r="52" spans="1:1">
      <c r="A52">
        <v>8412.2763281629886</v>
      </c>
    </row>
    <row r="53" spans="1:1">
      <c r="A53">
        <v>-5961.3665699725971</v>
      </c>
    </row>
    <row r="54" spans="1:1">
      <c r="A54">
        <v>22759.157344698906</v>
      </c>
    </row>
    <row r="55" spans="1:1">
      <c r="A55">
        <v>1156.316228734795</v>
      </c>
    </row>
    <row r="56" spans="1:1">
      <c r="A56">
        <v>4611.668499710504</v>
      </c>
    </row>
    <row r="57" spans="1:1">
      <c r="A57">
        <v>-22324.131224304438</v>
      </c>
    </row>
    <row r="58" spans="1:1">
      <c r="A58">
        <v>11131.904228823259</v>
      </c>
    </row>
    <row r="59" spans="1:1">
      <c r="A59">
        <v>-10428.4862219356</v>
      </c>
    </row>
    <row r="60" spans="1:1">
      <c r="A60">
        <v>21300.464267260395</v>
      </c>
    </row>
    <row r="61" spans="1:1">
      <c r="A61">
        <v>17377.017810649704</v>
      </c>
    </row>
    <row r="62" spans="1:1">
      <c r="A62">
        <v>-21016.641641035676</v>
      </c>
    </row>
    <row r="63" spans="1:1">
      <c r="A63">
        <v>-10193.836588878185</v>
      </c>
    </row>
    <row r="64" spans="1:1">
      <c r="A64">
        <v>5222.2463990619872</v>
      </c>
    </row>
    <row r="65" spans="1:1">
      <c r="A65">
        <v>1329.5294946874492</v>
      </c>
    </row>
    <row r="66" spans="1:1">
      <c r="A66">
        <v>7841.8526198947802</v>
      </c>
    </row>
    <row r="67" spans="1:1">
      <c r="A67">
        <v>19072.020348976366</v>
      </c>
    </row>
    <row r="68" spans="1:1">
      <c r="A68">
        <v>15962.776286760345</v>
      </c>
    </row>
    <row r="69" spans="1:1">
      <c r="A69">
        <v>9130.288289161399</v>
      </c>
    </row>
    <row r="70" spans="1:1">
      <c r="A70">
        <v>-3587.9491962259635</v>
      </c>
    </row>
    <row r="71" spans="1:1">
      <c r="A71">
        <v>17946.520655532368</v>
      </c>
    </row>
    <row r="72" spans="1:1">
      <c r="A72">
        <v>-8885.0737130269408</v>
      </c>
    </row>
    <row r="73" spans="1:1">
      <c r="A73">
        <v>3095.5863065901212</v>
      </c>
    </row>
    <row r="74" spans="1:1">
      <c r="A74">
        <v>17303.303265071008</v>
      </c>
    </row>
    <row r="75" spans="1:1">
      <c r="A75">
        <v>-8087.5150716747157</v>
      </c>
    </row>
    <row r="76" spans="1:1">
      <c r="A76">
        <v>19962.552086217329</v>
      </c>
    </row>
    <row r="77" spans="1:1">
      <c r="A77">
        <v>12827.225090295542</v>
      </c>
    </row>
    <row r="78" spans="1:1">
      <c r="A78">
        <v>4887.1658135612961</v>
      </c>
    </row>
    <row r="79" spans="1:1">
      <c r="A79">
        <v>-16885.898604523391</v>
      </c>
    </row>
    <row r="80" spans="1:1">
      <c r="A80">
        <v>8834.6342989825644</v>
      </c>
    </row>
    <row r="81" spans="1:1">
      <c r="A81">
        <v>-3741.6083260904998</v>
      </c>
    </row>
    <row r="82" spans="1:1">
      <c r="A82">
        <v>9202.8659663628787</v>
      </c>
    </row>
    <row r="83" spans="1:1">
      <c r="A83">
        <v>-5558.7787402328104</v>
      </c>
    </row>
    <row r="84" spans="1:1">
      <c r="A84">
        <v>20225.441529764794</v>
      </c>
    </row>
    <row r="85" spans="1:1">
      <c r="A85">
        <v>6240.539404534502</v>
      </c>
    </row>
    <row r="86" spans="1:1">
      <c r="A86">
        <v>-5243.4341897605918</v>
      </c>
    </row>
    <row r="87" spans="1:1">
      <c r="A87">
        <v>279.06311413971707</v>
      </c>
    </row>
    <row r="88" spans="1:1">
      <c r="A88">
        <v>4373.4490999486297</v>
      </c>
    </row>
    <row r="89" spans="1:1">
      <c r="A89">
        <v>13438.473741989583</v>
      </c>
    </row>
    <row r="90" spans="1:1">
      <c r="A90">
        <v>9443.9275370677933</v>
      </c>
    </row>
    <row r="91" spans="1:1">
      <c r="A91">
        <v>143.51429752423428</v>
      </c>
    </row>
    <row r="92" spans="1:1">
      <c r="A92">
        <v>11054.528967069928</v>
      </c>
    </row>
    <row r="93" spans="1:1">
      <c r="A93">
        <v>8882.4282455607317</v>
      </c>
    </row>
    <row r="94" spans="1:1">
      <c r="A94">
        <v>583.0730868910905</v>
      </c>
    </row>
    <row r="95" spans="1:1">
      <c r="A95">
        <v>7884.894456656184</v>
      </c>
    </row>
    <row r="96" spans="1:1">
      <c r="A96">
        <v>-31.09731653239578</v>
      </c>
    </row>
    <row r="97" spans="1:1">
      <c r="A97">
        <v>6922.3307390348054</v>
      </c>
    </row>
    <row r="98" spans="1:1">
      <c r="A98">
        <v>-1781.1924964189529</v>
      </c>
    </row>
    <row r="99" spans="1:1">
      <c r="A99">
        <v>10294.19139638776</v>
      </c>
    </row>
    <row r="100" spans="1:1">
      <c r="A100">
        <v>10464.812602440361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E14" sqref="E14"/>
    </sheetView>
  </sheetViews>
  <sheetFormatPr defaultRowHeight="15"/>
  <sheetData>
    <row r="1" spans="1:3">
      <c r="A1" t="s">
        <v>105</v>
      </c>
    </row>
    <row r="2" spans="1:3" ht="15.75" thickBot="1"/>
    <row r="3" spans="1:3">
      <c r="A3" s="5"/>
      <c r="B3" s="5" t="s">
        <v>91</v>
      </c>
      <c r="C3" s="5" t="s">
        <v>92</v>
      </c>
    </row>
    <row r="4" spans="1:3">
      <c r="A4" s="3" t="s">
        <v>10</v>
      </c>
      <c r="B4" s="3">
        <v>70</v>
      </c>
      <c r="C4" s="3">
        <v>77</v>
      </c>
    </row>
    <row r="5" spans="1:3">
      <c r="A5" s="3" t="s">
        <v>56</v>
      </c>
      <c r="B5" s="3">
        <v>14.5</v>
      </c>
      <c r="C5" s="3">
        <v>16</v>
      </c>
    </row>
    <row r="6" spans="1:3">
      <c r="A6" s="3" t="s">
        <v>34</v>
      </c>
      <c r="B6" s="3">
        <v>5</v>
      </c>
      <c r="C6" s="3">
        <v>5</v>
      </c>
    </row>
    <row r="7" spans="1:3">
      <c r="A7" s="3" t="s">
        <v>40</v>
      </c>
      <c r="B7" s="3">
        <v>4</v>
      </c>
      <c r="C7" s="3">
        <v>4</v>
      </c>
    </row>
    <row r="8" spans="1:3">
      <c r="A8" s="3" t="s">
        <v>43</v>
      </c>
      <c r="B8" s="3">
        <v>0.90625</v>
      </c>
      <c r="C8" s="3"/>
    </row>
    <row r="9" spans="1:3">
      <c r="A9" s="3" t="s">
        <v>106</v>
      </c>
      <c r="B9" s="3">
        <v>0.46314449228212684</v>
      </c>
      <c r="C9" s="3"/>
    </row>
    <row r="10" spans="1:3" ht="15.75" thickBot="1">
      <c r="A10" s="4" t="s">
        <v>107</v>
      </c>
      <c r="B10" s="4">
        <v>0.15653781167295933</v>
      </c>
      <c r="C1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20" sqref="H2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Sheet16</vt:lpstr>
      <vt:lpstr>Sheet17</vt:lpstr>
      <vt:lpstr>Sheet1</vt:lpstr>
      <vt:lpstr>Analyze Salary</vt:lpstr>
      <vt:lpstr>Histogram</vt:lpstr>
      <vt:lpstr>Correlation</vt:lpstr>
      <vt:lpstr>Covariance</vt:lpstr>
      <vt:lpstr>Regression</vt:lpstr>
      <vt:lpstr>ANOVA Single Factor</vt:lpstr>
      <vt:lpstr>ANOVA 2 factor with replication</vt:lpstr>
      <vt:lpstr>ANOVA 2 factor without replicat</vt:lpstr>
      <vt:lpstr>Moving Average</vt:lpstr>
      <vt:lpstr>tTest 2 sample assuming unequal</vt:lpstr>
      <vt:lpstr>tTest 2sample assuming Equalvar</vt:lpstr>
      <vt:lpstr>tTest  Paired 2Sample</vt:lpstr>
      <vt:lpstr>Rank and Percentile</vt:lpstr>
      <vt:lpstr>Sampling-Random Sampling</vt:lpstr>
      <vt:lpstr>Random Number Generation</vt:lpstr>
      <vt:lpstr>F-Test Two-Sample for Variances</vt:lpstr>
      <vt:lpstr>Sheet20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2026-08-28T05:56:03Z</dcterms:created>
  <dcterms:modified xsi:type="dcterms:W3CDTF">2026-08-29T04:15:28Z</dcterms:modified>
</cp:coreProperties>
</file>