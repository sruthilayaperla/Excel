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360" yWindow="30" windowWidth="14355" windowHeight="4695" activeTab="3"/>
  </bookViews>
  <sheets>
    <sheet name="Sheet1" sheetId="1" r:id="rId1"/>
    <sheet name="Analyze Salary" sheetId="4" r:id="rId2"/>
    <sheet name="Histogram" sheetId="6" r:id="rId3"/>
    <sheet name="Correlation" sheetId="8" r:id="rId4"/>
    <sheet name="Covariance" sheetId="9" r:id="rId5"/>
    <sheet name="Regression" sheetId="11" r:id="rId6"/>
    <sheet name="Sheet10" sheetId="10" r:id="rId7"/>
  </sheets>
  <calcPr calcId="125725"/>
</workbook>
</file>

<file path=xl/calcChain.xml><?xml version="1.0" encoding="utf-8"?>
<calcChain xmlns="http://schemas.openxmlformats.org/spreadsheetml/2006/main">
  <c r="A2" i="9"/>
  <c r="A1"/>
  <c r="A1" i="8"/>
</calcChain>
</file>

<file path=xl/sharedStrings.xml><?xml version="1.0" encoding="utf-8"?>
<sst xmlns="http://schemas.openxmlformats.org/spreadsheetml/2006/main" count="73" uniqueCount="52">
  <si>
    <t>Employee ID</t>
  </si>
  <si>
    <t>Department</t>
  </si>
  <si>
    <t>Experience</t>
  </si>
  <si>
    <t>Age</t>
  </si>
  <si>
    <t>Salary</t>
  </si>
  <si>
    <t>Performance</t>
  </si>
  <si>
    <t>Training Hours</t>
  </si>
  <si>
    <t>IT</t>
  </si>
  <si>
    <t>HR</t>
  </si>
  <si>
    <t>Finance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</si>
  <si>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</si>
  <si>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</si>
  <si>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</si>
  <si>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</si>
  <si>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</si>
  <si>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</si>
  <si>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</si>
  <si>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</si>
  <si>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</si>
  <si>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</si>
  <si>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</si>
  <si>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</si>
  <si>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</si>
  <si>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Salary Bin</t>
  </si>
  <si>
    <t>Bin</t>
  </si>
  <si>
    <t>More</t>
  </si>
  <si>
    <t>Frequency</t>
  </si>
  <si>
    <t>Experience and Salary</t>
  </si>
  <si>
    <t>Pefromance &amp; Testing  hours</t>
  </si>
  <si>
    <t>SUMMARY OUTPUT</t>
  </si>
  <si>
    <t>Regression Statistics</t>
  </si>
  <si>
    <t>Multiple R</t>
  </si>
  <si>
    <t>R Square</t>
  </si>
  <si>
    <t>Adjusted R Square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</si>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</sst>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0" fillId="0" borderId="0" xfId="0" applyFill="1" applyBorder="1" applyAlignment="1"/>
    <xf numFmtId="0" fontId="0" fillId="0" borderId="1" xfId="0" applyFill="1" applyBorder="1" applyAlignment="1"/>
    <xf numFmtId="0" fontId="3" fillId="0" borderId="2" xfId="0" applyFont="1" applyFill="1" applyBorder="1" applyAlignment="1">
      <alignment horizontal="center"/>
    </xf>
    <xf numFmtId="0" fontId="3" fillId="0" borderId="2" xfId="0" applyFont="1" applyFill="1" applyBorder="1" applyAlignment="1">
      <alignment horizontal="centerContinuous"/>
    </xf>
    <xf numFmtId="0" fontId="0" fillId="0" borderId="0" xfId="0" applyNumberFormat="1" applyFill="1" applyBorder="1" applyAlignme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Histogram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Frequency</c:v>
          </c:tx>
          <c:cat>
            <c:strRef>
              <c:f>Histogram!$A$2:$A$8</c:f>
              <c:strCache>
                <c:ptCount val="7"/>
                <c:pt idx="0">
                  <c:v>40000</c:v>
                </c:pt>
                <c:pt idx="1">
                  <c:v>50000</c:v>
                </c:pt>
                <c:pt idx="2">
                  <c:v>60000</c:v>
                </c:pt>
                <c:pt idx="3">
                  <c:v>70000</c:v>
                </c:pt>
                <c:pt idx="4">
                  <c:v>80000</c:v>
                </c:pt>
                <c:pt idx="5">
                  <c:v>90000</c:v>
                </c:pt>
                <c:pt idx="6">
                  <c:v>More</c:v>
                </c:pt>
              </c:strCache>
            </c:strRef>
          </c:cat>
          <c:val>
            <c:numRef>
              <c:f>Histogram!$B$2:$B$8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axId val="52528256"/>
        <c:axId val="52529792"/>
      </c:barChart>
      <c:catAx>
        <c:axId val="52528256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Bin</a:t>
                </a:r>
              </a:p>
            </c:rich>
          </c:tx>
          <c:layout/>
        </c:title>
        <c:tickLblPos val="nextTo"/>
        <c:crossAx val="52529792"/>
        <c:crosses val="autoZero"/>
        <c:auto val="1"/>
        <c:lblAlgn val="ctr"/>
        <c:lblOffset val="100"/>
      </c:catAx>
      <c:valAx>
        <c:axId val="5252979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</c:title>
        <c:numFmt formatCode="General" sourceLinked="1"/>
        <c:tickLblPos val="nextTo"/>
        <c:crossAx val="5252825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9</xdr:col>
      <xdr:colOff>0</xdr:colOff>
      <xdr:row>10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1"/>
  <sheetViews>
    <sheetView workbookViewId="0">
      <selection activeCell="J12" sqref="J12"/>
    </sheetView>
  </sheetViews>
  <sheetFormatPr defaultRowHeight="15"/>
  <cols>
    <col min="1" max="1" width="14.42578125" customWidth="1"/>
    <col min="2" max="2" width="12.28515625" customWidth="1"/>
    <col min="3" max="3" width="12.5703125" customWidth="1"/>
    <col min="6" max="6" width="13.42578125" customWidth="1"/>
    <col min="7" max="7" width="15.85546875" customWidth="1"/>
    <col min="9" max="9" width="15.5703125" customWidth="1"/>
  </cols>
  <sheetData>
    <row r="1" spans="1:9" ht="16.5" customHeight="1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  <c r="F1" s="1" t="s">
        <v>5</v>
      </c>
      <c r="G1" s="1" t="s">
        <v>6</v>
      </c>
      <c r="I1" s="1" t="s">
        <v>23</v>
      </c>
    </row>
    <row r="2" spans="1:9" ht="15.75">
      <c r="A2" s="2">
        <v>101</v>
      </c>
      <c r="B2" s="2" t="s">
        <v>7</v>
      </c>
      <c r="C2" s="2">
        <v>2</v>
      </c>
      <c r="D2" s="2">
        <v>35000</v>
      </c>
      <c r="E2" s="2">
        <v>24</v>
      </c>
      <c r="F2" s="2">
        <v>68</v>
      </c>
      <c r="G2" s="2">
        <v>12</v>
      </c>
      <c r="I2" s="2">
        <v>40000</v>
      </c>
    </row>
    <row r="3" spans="1:9" ht="15.75">
      <c r="A3" s="2">
        <v>102</v>
      </c>
      <c r="B3" s="2" t="s">
        <v>8</v>
      </c>
      <c r="C3" s="2">
        <v>3</v>
      </c>
      <c r="D3" s="2">
        <v>38000</v>
      </c>
      <c r="E3" s="2">
        <v>26</v>
      </c>
      <c r="F3" s="2">
        <v>72</v>
      </c>
      <c r="G3" s="2">
        <v>15</v>
      </c>
      <c r="I3" s="2">
        <v>50000</v>
      </c>
    </row>
    <row r="4" spans="1:9" ht="15.75">
      <c r="A4" s="2">
        <v>103</v>
      </c>
      <c r="B4" s="2" t="s">
        <v>7</v>
      </c>
      <c r="C4" s="2">
        <v>5</v>
      </c>
      <c r="D4" s="2">
        <v>48000</v>
      </c>
      <c r="E4" s="2">
        <v>29</v>
      </c>
      <c r="F4" s="2">
        <v>80</v>
      </c>
      <c r="G4" s="2">
        <v>20</v>
      </c>
      <c r="I4" s="2">
        <v>60000</v>
      </c>
    </row>
    <row r="5" spans="1:9" ht="15.75">
      <c r="A5" s="2">
        <v>104</v>
      </c>
      <c r="B5" s="2" t="s">
        <v>9</v>
      </c>
      <c r="C5" s="2">
        <v>4</v>
      </c>
      <c r="D5" s="2">
        <v>45000</v>
      </c>
      <c r="E5" s="2">
        <v>28</v>
      </c>
      <c r="F5" s="2">
        <v>76</v>
      </c>
      <c r="G5" s="2">
        <v>18</v>
      </c>
      <c r="I5" s="2">
        <v>70000</v>
      </c>
    </row>
    <row r="6" spans="1:9" ht="15.75">
      <c r="A6" s="2">
        <v>105</v>
      </c>
      <c r="B6" s="2" t="s">
        <v>7</v>
      </c>
      <c r="C6" s="2">
        <v>7</v>
      </c>
      <c r="D6" s="2">
        <v>62000</v>
      </c>
      <c r="E6" s="2">
        <v>32</v>
      </c>
      <c r="F6" s="2">
        <v>88</v>
      </c>
      <c r="G6" s="2">
        <v>25</v>
      </c>
      <c r="I6" s="2">
        <v>80000</v>
      </c>
    </row>
    <row r="7" spans="1:9" ht="15.75">
      <c r="A7" s="2">
        <v>106</v>
      </c>
      <c r="B7" s="2" t="s">
        <v>8</v>
      </c>
      <c r="C7" s="2">
        <v>6</v>
      </c>
      <c r="D7" s="2">
        <v>55000</v>
      </c>
      <c r="E7" s="2">
        <v>31</v>
      </c>
      <c r="F7" s="2">
        <v>84</v>
      </c>
      <c r="G7" s="2">
        <v>22</v>
      </c>
      <c r="I7" s="2">
        <v>90000</v>
      </c>
    </row>
    <row r="8" spans="1:9" ht="15.75">
      <c r="A8" s="2">
        <v>107</v>
      </c>
      <c r="B8" s="2" t="s">
        <v>9</v>
      </c>
      <c r="C8" s="2">
        <v>8</v>
      </c>
      <c r="D8" s="2">
        <v>68000</v>
      </c>
      <c r="E8" s="2">
        <v>35</v>
      </c>
      <c r="F8" s="2">
        <v>91</v>
      </c>
      <c r="G8" s="2">
        <v>28</v>
      </c>
    </row>
    <row r="9" spans="1:9" ht="15.75">
      <c r="A9" s="2">
        <v>108</v>
      </c>
      <c r="B9" s="2" t="s">
        <v>7</v>
      </c>
      <c r="C9" s="2">
        <v>10</v>
      </c>
      <c r="D9" s="2">
        <v>82000</v>
      </c>
      <c r="E9" s="2">
        <v>38</v>
      </c>
      <c r="F9" s="2">
        <v>95</v>
      </c>
      <c r="G9" s="2">
        <v>30</v>
      </c>
    </row>
    <row r="10" spans="1:9" ht="15.75">
      <c r="A10" s="2">
        <v>109</v>
      </c>
      <c r="B10" s="2" t="s">
        <v>8</v>
      </c>
      <c r="C10" s="2">
        <v>9</v>
      </c>
      <c r="D10" s="2">
        <v>72000</v>
      </c>
      <c r="E10" s="2">
        <v>36</v>
      </c>
      <c r="F10" s="2">
        <v>90</v>
      </c>
      <c r="G10" s="2">
        <v>27</v>
      </c>
    </row>
    <row r="11" spans="1:9" ht="15.75">
      <c r="A11" s="2">
        <v>110</v>
      </c>
      <c r="B11" s="2" t="s">
        <v>9</v>
      </c>
      <c r="C11" s="2">
        <v>3</v>
      </c>
      <c r="D11" s="2">
        <v>40000</v>
      </c>
      <c r="E11" s="2">
        <v>25</v>
      </c>
      <c r="F11" s="2">
        <v>70</v>
      </c>
      <c r="G11" s="2">
        <v>14</v>
      </c>
    </row>
    <row r="12" spans="1:9" ht="15.75">
      <c r="A12" s="2">
        <v>111</v>
      </c>
      <c r="B12" s="2" t="s">
        <v>7</v>
      </c>
      <c r="C12" s="2">
        <v>4</v>
      </c>
      <c r="D12" s="2">
        <v>46000</v>
      </c>
      <c r="E12" s="2">
        <v>27</v>
      </c>
      <c r="F12" s="2">
        <v>78</v>
      </c>
      <c r="G12" s="2">
        <v>19</v>
      </c>
    </row>
    <row r="13" spans="1:9" ht="15.75">
      <c r="A13" s="2">
        <v>112</v>
      </c>
      <c r="B13" s="2" t="s">
        <v>8</v>
      </c>
      <c r="C13" s="2">
        <v>5</v>
      </c>
      <c r="D13" s="2">
        <v>50000</v>
      </c>
      <c r="E13" s="2">
        <v>30</v>
      </c>
      <c r="F13" s="2">
        <v>81</v>
      </c>
      <c r="G13" s="2">
        <v>21</v>
      </c>
    </row>
    <row r="14" spans="1:9" ht="15.75">
      <c r="A14" s="2">
        <v>113</v>
      </c>
      <c r="B14" s="2" t="s">
        <v>9</v>
      </c>
      <c r="C14" s="2">
        <v>6</v>
      </c>
      <c r="D14" s="2">
        <v>58000</v>
      </c>
      <c r="E14" s="2">
        <v>33</v>
      </c>
      <c r="F14" s="2">
        <v>85</v>
      </c>
      <c r="G14" s="2">
        <v>23</v>
      </c>
    </row>
    <row r="15" spans="1:9" ht="15.75">
      <c r="A15" s="2">
        <v>114</v>
      </c>
      <c r="B15" s="2" t="s">
        <v>7</v>
      </c>
      <c r="C15" s="2">
        <v>8</v>
      </c>
      <c r="D15" s="2">
        <v>70000</v>
      </c>
      <c r="E15" s="2">
        <v>34</v>
      </c>
      <c r="F15" s="2">
        <v>92</v>
      </c>
      <c r="G15" s="2">
        <v>29</v>
      </c>
    </row>
    <row r="16" spans="1:9" ht="15.75">
      <c r="A16" s="2">
        <v>115</v>
      </c>
      <c r="B16" s="2" t="s">
        <v>8</v>
      </c>
      <c r="C16" s="2">
        <v>2</v>
      </c>
      <c r="D16" s="2">
        <v>34000</v>
      </c>
      <c r="E16" s="2">
        <v>23</v>
      </c>
      <c r="F16" s="2">
        <v>65</v>
      </c>
      <c r="G16" s="2">
        <v>10</v>
      </c>
    </row>
    <row r="17" spans="1:7" ht="15.75">
      <c r="A17" s="2">
        <v>116</v>
      </c>
      <c r="B17" s="2" t="s">
        <v>9</v>
      </c>
      <c r="C17" s="2">
        <v>9</v>
      </c>
      <c r="D17" s="2">
        <v>76000</v>
      </c>
      <c r="E17" s="2">
        <v>37</v>
      </c>
      <c r="F17" s="2">
        <v>93</v>
      </c>
      <c r="G17" s="2">
        <v>26</v>
      </c>
    </row>
    <row r="18" spans="1:7" ht="15.75">
      <c r="A18" s="2">
        <v>117</v>
      </c>
      <c r="B18" s="2" t="s">
        <v>7</v>
      </c>
      <c r="C18" s="2">
        <v>6</v>
      </c>
      <c r="D18" s="2">
        <v>57000</v>
      </c>
      <c r="E18" s="2">
        <v>30</v>
      </c>
      <c r="F18" s="2">
        <v>86</v>
      </c>
      <c r="G18" s="2">
        <v>24</v>
      </c>
    </row>
    <row r="19" spans="1:7" ht="15.75">
      <c r="A19" s="2">
        <v>118</v>
      </c>
      <c r="B19" s="2" t="s">
        <v>8</v>
      </c>
      <c r="C19" s="2">
        <v>7</v>
      </c>
      <c r="D19" s="2">
        <v>61000</v>
      </c>
      <c r="E19" s="2">
        <v>32</v>
      </c>
      <c r="F19" s="2">
        <v>87</v>
      </c>
      <c r="G19" s="2">
        <v>25</v>
      </c>
    </row>
    <row r="20" spans="1:7" ht="15.75">
      <c r="A20" s="2">
        <v>119</v>
      </c>
      <c r="B20" s="2" t="s">
        <v>9</v>
      </c>
      <c r="C20" s="2">
        <v>5</v>
      </c>
      <c r="D20" s="2">
        <v>52000</v>
      </c>
      <c r="E20" s="2">
        <v>29</v>
      </c>
      <c r="F20" s="2">
        <v>79</v>
      </c>
      <c r="G20" s="2">
        <v>20</v>
      </c>
    </row>
    <row r="21" spans="1:7" ht="15.75">
      <c r="A21" s="2">
        <v>120</v>
      </c>
      <c r="B21" s="2" t="s">
        <v>7</v>
      </c>
      <c r="C21" s="2">
        <v>11</v>
      </c>
      <c r="D21" s="2">
        <v>90000</v>
      </c>
      <c r="E21" s="2">
        <v>40</v>
      </c>
      <c r="F21" s="2">
        <v>97</v>
      </c>
      <c r="G21" s="2">
        <v>32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5"/>
  <sheetViews>
    <sheetView workbookViewId="0">
      <selection activeCell="C14" sqref="C14"/>
    </sheetView>
  </sheetViews>
  <sheetFormatPr defaultRowHeight="15"/>
  <cols>
    <col min="1" max="1" width="14" customWidth="1"/>
    <col min="2" max="2" width="12.7109375" customWidth="1"/>
  </cols>
  <sheetData>
    <row r="1" spans="1:2">
      <c r="A1" s="6" t="s">
        <v>4</v>
      </c>
      <c r="B1" s="6"/>
    </row>
    <row r="2" spans="1:2">
      <c r="A2" s="3"/>
      <c r="B2" s="3"/>
    </row>
    <row r="3" spans="1:2">
      <c r="A3" s="3" t="s">
        <v>10</v>
      </c>
      <c r="B3" s="3">
        <v>56950</v>
      </c>
    </row>
    <row r="4" spans="1:2">
      <c r="A4" s="3" t="s">
        <v>11</v>
      </c>
      <c r="B4" s="3">
        <v>3523.9593462019689</v>
      </c>
    </row>
    <row r="5" spans="1:2">
      <c r="A5" s="3" t="s">
        <v>12</v>
      </c>
      <c r="B5" s="3">
        <v>56000</v>
      </c>
    </row>
    <row r="6" spans="1:2">
      <c r="A6" s="3" t="s">
        <v>13</v>
      </c>
      <c r="B6" s="3" t="e">
        <v>#N/A</v>
      </c>
    </row>
    <row r="7" spans="1:2">
      <c r="A7" s="3" t="s">
        <v>14</v>
      </c>
      <c r="B7" s="3">
        <v>15759.625296106637</v>
      </c>
    </row>
    <row r="8" spans="1:2">
      <c r="A8" s="3" t="s">
        <v>15</v>
      </c>
      <c r="B8" s="3">
        <v>248365789.47368422</v>
      </c>
    </row>
    <row r="9" spans="1:2">
      <c r="A9" s="3" t="s">
        <v>16</v>
      </c>
      <c r="B9" s="3">
        <v>-0.51791942042053529</v>
      </c>
    </row>
    <row r="10" spans="1:2">
      <c r="A10" s="3" t="s">
        <v>17</v>
      </c>
      <c r="B10" s="3">
        <v>0.40893514128088748</v>
      </c>
    </row>
    <row r="11" spans="1:2">
      <c r="A11" s="3" t="s">
        <v>18</v>
      </c>
      <c r="B11" s="3">
        <v>56000</v>
      </c>
    </row>
    <row r="12" spans="1:2">
      <c r="A12" s="3" t="s">
        <v>19</v>
      </c>
      <c r="B12" s="3">
        <v>34000</v>
      </c>
    </row>
    <row r="13" spans="1:2">
      <c r="A13" s="3" t="s">
        <v>20</v>
      </c>
      <c r="B13" s="3">
        <v>90000</v>
      </c>
    </row>
    <row r="14" spans="1:2">
      <c r="A14" s="3" t="s">
        <v>21</v>
      </c>
      <c r="B14" s="3">
        <v>1139000</v>
      </c>
    </row>
    <row r="15" spans="1:2" ht="15.75" thickBot="1">
      <c r="A15" s="4" t="s">
        <v>22</v>
      </c>
      <c r="B15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8"/>
  <sheetViews>
    <sheetView workbookViewId="0">
      <selection activeCell="C17" sqref="C17"/>
    </sheetView>
  </sheetViews>
  <sheetFormatPr defaultRowHeight="15"/>
  <sheetData>
    <row r="1" spans="1:2">
      <c r="A1" s="5" t="s">
        <v>24</v>
      </c>
      <c r="B1" s="5" t="s">
        <v>26</v>
      </c>
    </row>
    <row r="2" spans="1:2">
      <c r="A2" s="7">
        <v>40000</v>
      </c>
      <c r="B2" s="3">
        <v>4</v>
      </c>
    </row>
    <row r="3" spans="1:2">
      <c r="A3" s="7">
        <v>50000</v>
      </c>
      <c r="B3" s="3">
        <v>4</v>
      </c>
    </row>
    <row r="4" spans="1:2">
      <c r="A4" s="7">
        <v>60000</v>
      </c>
      <c r="B4" s="3">
        <v>4</v>
      </c>
    </row>
    <row r="5" spans="1:2">
      <c r="A5" s="7">
        <v>70000</v>
      </c>
      <c r="B5" s="3">
        <v>4</v>
      </c>
    </row>
    <row r="6" spans="1:2">
      <c r="A6" s="7">
        <v>80000</v>
      </c>
      <c r="B6" s="3">
        <v>2</v>
      </c>
    </row>
    <row r="7" spans="1:2">
      <c r="A7" s="7">
        <v>90000</v>
      </c>
      <c r="B7" s="3">
        <v>2</v>
      </c>
    </row>
    <row r="8" spans="1:2" ht="15.75" thickBot="1">
      <c r="A8" s="4" t="s">
        <v>25</v>
      </c>
      <c r="B8" s="4">
        <v>0</v>
      </c>
    </row>
  </sheetData>
  <sortState ref="A2:A7">
    <sortCondition ref="A2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>
      <selection activeCell="D7" sqref="D7"/>
    </sheetView>
  </sheetViews>
  <sheetFormatPr defaultRowHeight="15"/>
  <cols>
    <col min="1" max="1" width="13.28515625" customWidth="1"/>
  </cols>
  <sheetData>
    <row r="1" spans="1:1">
      <c r="A1">
        <f>CORREL(Sheet1!C2:C21,Sheet1!D2:D21)</f>
        <v>0.99458772197937739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selection activeCell="H22" sqref="H22"/>
    </sheetView>
  </sheetViews>
  <sheetFormatPr defaultRowHeight="15"/>
  <cols>
    <col min="3" max="3" width="10.140625" customWidth="1"/>
  </cols>
  <sheetData>
    <row r="1" spans="1:4">
      <c r="A1">
        <f>COVAR(Sheet1!C2:C21,Sheet1!D2:D21)</f>
        <v>38950</v>
      </c>
      <c r="B1" s="8" t="s">
        <v>27</v>
      </c>
      <c r="C1" s="8"/>
    </row>
    <row r="2" spans="1:4">
      <c r="A2">
        <f>COVAR(Sheet1!F2:F21,Sheet1!G2:G21)</f>
        <v>53.15</v>
      </c>
      <c r="B2" s="8" t="s">
        <v>28</v>
      </c>
      <c r="C2" s="8"/>
      <c r="D2" s="8"/>
    </row>
  </sheetData>
  <mergeCells count="2">
    <mergeCell ref="B1:C1"/>
    <mergeCell ref="B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8"/>
  <sheetViews>
    <sheetView topLeftCell="A4" workbookViewId="0">
      <selection activeCell="G21" sqref="G21"/>
    </sheetView>
  </sheetViews>
  <sheetFormatPr defaultRowHeight="15"/>
  <cols>
    <col min="2" max="2" width="15" customWidth="1"/>
    <col min="3" max="3" width="14.7109375" customWidth="1"/>
    <col min="4" max="4" width="12.42578125" customWidth="1"/>
    <col min="5" max="5" width="9.85546875" customWidth="1"/>
    <col min="6" max="6" width="11.7109375" customWidth="1"/>
    <col min="7" max="7" width="10.85546875" customWidth="1"/>
    <col min="8" max="8" width="12.7109375" customWidth="1"/>
    <col min="9" max="9" width="13" customWidth="1"/>
  </cols>
  <sheetData>
    <row r="1" spans="1:9">
      <c r="A1" t="s">
        <v>29</v>
      </c>
    </row>
    <row r="2" spans="1:9" ht="15.75" thickBot="1"/>
    <row r="3" spans="1:9">
      <c r="A3" s="6" t="s">
        <v>30</v>
      </c>
      <c r="B3" s="6"/>
    </row>
    <row r="4" spans="1:9">
      <c r="A4" s="3" t="s">
        <v>31</v>
      </c>
      <c r="B4" s="3">
        <v>0.99458772197937728</v>
      </c>
    </row>
    <row r="5" spans="1:9">
      <c r="A5" s="3" t="s">
        <v>32</v>
      </c>
      <c r="B5" s="3">
        <v>0.98920473671212716</v>
      </c>
    </row>
    <row r="6" spans="1:9">
      <c r="A6" s="3" t="s">
        <v>33</v>
      </c>
      <c r="B6" s="3">
        <v>0.98860499986280082</v>
      </c>
    </row>
    <row r="7" spans="1:9">
      <c r="A7" s="3" t="s">
        <v>11</v>
      </c>
      <c r="B7" s="3">
        <v>1682.298488713642</v>
      </c>
    </row>
    <row r="8" spans="1:9" ht="15.75" thickBot="1">
      <c r="A8" s="4" t="s">
        <v>34</v>
      </c>
      <c r="B8" s="4">
        <v>20</v>
      </c>
    </row>
    <row r="10" spans="1:9" ht="15.75" thickBot="1">
      <c r="A10" t="s">
        <v>35</v>
      </c>
    </row>
    <row r="11" spans="1:9">
      <c r="A11" s="5"/>
      <c r="B11" s="5" t="s">
        <v>40</v>
      </c>
      <c r="C11" s="5" t="s">
        <v>41</v>
      </c>
      <c r="D11" s="5" t="s">
        <v>42</v>
      </c>
      <c r="E11" s="5" t="s">
        <v>43</v>
      </c>
      <c r="F11" s="5" t="s">
        <v>44</v>
      </c>
    </row>
    <row r="12" spans="1:9">
      <c r="A12" s="3" t="s">
        <v>36</v>
      </c>
      <c r="B12" s="3">
        <v>1</v>
      </c>
      <c r="C12" s="3">
        <v>4668007692.3076925</v>
      </c>
      <c r="D12" s="3">
        <v>4668007692.3076925</v>
      </c>
      <c r="E12" s="3">
        <v>1649.3979614949046</v>
      </c>
      <c r="F12" s="3">
        <v>3.7110294595676643E-19</v>
      </c>
    </row>
    <row r="13" spans="1:9">
      <c r="A13" s="3" t="s">
        <v>37</v>
      </c>
      <c r="B13" s="3">
        <v>18</v>
      </c>
      <c r="C13" s="3">
        <v>50942307.692307666</v>
      </c>
      <c r="D13" s="3">
        <v>2830128.2051282036</v>
      </c>
      <c r="E13" s="3"/>
      <c r="F13" s="3"/>
    </row>
    <row r="14" spans="1:9" ht="15.75" thickBot="1">
      <c r="A14" s="4" t="s">
        <v>38</v>
      </c>
      <c r="B14" s="4">
        <v>19</v>
      </c>
      <c r="C14" s="4">
        <v>4718950000</v>
      </c>
      <c r="D14" s="4"/>
      <c r="E14" s="4"/>
      <c r="F14" s="4"/>
    </row>
    <row r="15" spans="1:9" ht="15.75" thickBot="1"/>
    <row r="16" spans="1:9">
      <c r="A16" s="5"/>
      <c r="B16" s="5" t="s">
        <v>45</v>
      </c>
      <c r="C16" s="5" t="s">
        <v>11</v>
      </c>
      <c r="D16" s="5" t="s">
        <v>46</v>
      </c>
      <c r="E16" s="5" t="s">
        <v>47</v>
      </c>
      <c r="F16" s="5" t="s">
        <v>48</v>
      </c>
      <c r="G16" s="5" t="s">
        <v>49</v>
      </c>
      <c r="H16" s="5" t="s">
        <v>50</v>
      </c>
      <c r="I16" s="5" t="s">
        <v>51</v>
      </c>
    </row>
    <row r="17" spans="1:9">
      <c r="A17" s="3" t="s">
        <v>39</v>
      </c>
      <c r="B17" s="3">
        <v>20996.153846153844</v>
      </c>
      <c r="C17" s="3">
        <v>961.89096102796248</v>
      </c>
      <c r="D17" s="3">
        <v>21.827997867570645</v>
      </c>
      <c r="E17" s="3">
        <v>2.1172430809940011E-14</v>
      </c>
      <c r="F17" s="3">
        <v>18975.295929072618</v>
      </c>
      <c r="G17" s="3">
        <v>23017.01176323507</v>
      </c>
      <c r="H17" s="3">
        <v>18975.295929072618</v>
      </c>
      <c r="I17" s="3">
        <v>23017.01176323507</v>
      </c>
    </row>
    <row r="18" spans="1:9" ht="15.75" thickBot="1">
      <c r="A18" s="4" t="s">
        <v>2</v>
      </c>
      <c r="B18" s="4">
        <v>5992.3076923076933</v>
      </c>
      <c r="C18" s="4">
        <v>147.54733803943955</v>
      </c>
      <c r="D18" s="4">
        <v>40.612780765356426</v>
      </c>
      <c r="E18" s="4">
        <v>3.7110294595676643E-19</v>
      </c>
      <c r="F18" s="4">
        <v>5682.3222383404291</v>
      </c>
      <c r="G18" s="4">
        <v>6302.2931462749575</v>
      </c>
      <c r="H18" s="4">
        <v>5682.3222383404291</v>
      </c>
      <c r="I18" s="4">
        <v>6302.2931462749575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Analyze Salary</vt:lpstr>
      <vt:lpstr>Histogram</vt:lpstr>
      <vt:lpstr>Correlation</vt:lpstr>
      <vt:lpstr>Covariance</vt:lpstr>
      <vt:lpstr>Regression</vt:lpstr>
      <vt:lpstr>Sheet10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</dc:creator>
  <cp:lastModifiedBy>lab</cp:lastModifiedBy>
  <dcterms:created xsi:type="dcterms:W3CDTF">2026-08-28T05:56:03Z</dcterms:created>
  <dcterms:modified xsi:type="dcterms:W3CDTF">2026-08-28T06:19:27Z</dcterms:modified>
</cp:coreProperties>
</file>